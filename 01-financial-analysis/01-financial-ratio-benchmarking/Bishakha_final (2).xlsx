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BF6385D-AAAE-4B5A-A9AA-8581B2BD4AF1}" xr6:coauthVersionLast="47" xr6:coauthVersionMax="47" xr10:uidLastSave="{00000000-0000-0000-0000-000000000000}"/>
  <bookViews>
    <workbookView xWindow="-108" yWindow="-108" windowWidth="23256" windowHeight="12456" tabRatio="891" activeTab="6" xr2:uid="{125B13AC-BD00-C943-99B4-FF00E2F76306}"/>
  </bookViews>
  <sheets>
    <sheet name="Calculation" sheetId="7" r:id="rId1"/>
    <sheet name="Analysis" sheetId="8" r:id="rId2"/>
    <sheet name="Finance Rating" sheetId="23" r:id="rId3"/>
    <sheet name="Scoring Model" sheetId="1" r:id="rId4"/>
    <sheet name="Days of Account Receivables" sheetId="17" r:id="rId5"/>
    <sheet name="Operating Margin" sheetId="15" r:id="rId6"/>
    <sheet name="ROI" sheetId="16" r:id="rId7"/>
    <sheet name="Weighed Score" sheetId="19" r:id="rId8"/>
    <sheet name="Debt Equity Ratio" sheetId="20" r:id="rId9"/>
    <sheet name="Interest Coverage Ratio" sheetId="14" r:id="rId10"/>
  </sheets>
  <calcPr calcId="191029"/>
  <pivotCaches>
    <pivotCache cacheId="18" r:id="rId11"/>
    <pivotCache cacheId="19" r:id="rId12"/>
    <pivotCache cacheId="20" r:id="rId13"/>
    <pivotCache cacheId="21" r:id="rId14"/>
    <pivotCache cacheId="22" r:id="rId15"/>
    <pivotCache cacheId="2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" l="1"/>
  <c r="T8" i="1"/>
  <c r="T7" i="1"/>
  <c r="T6" i="1"/>
  <c r="T5" i="1"/>
  <c r="T4" i="1"/>
  <c r="T3" i="1"/>
  <c r="P8" i="1"/>
  <c r="P7" i="1"/>
  <c r="P6" i="1"/>
  <c r="P5" i="1"/>
  <c r="P4" i="1"/>
  <c r="P3" i="1"/>
  <c r="H8" i="1"/>
  <c r="H7" i="1"/>
  <c r="V7" i="1" s="1"/>
  <c r="H6" i="1"/>
  <c r="H5" i="1"/>
  <c r="V5" i="1" s="1"/>
  <c r="H4" i="1"/>
  <c r="H3" i="1"/>
  <c r="V3" i="1" s="1"/>
  <c r="D6" i="1"/>
  <c r="V6" i="1" s="1"/>
  <c r="D4" i="1"/>
  <c r="V4" i="1" s="1"/>
  <c r="J13" i="1"/>
  <c r="F5" i="1"/>
  <c r="F13" i="1" s="1"/>
  <c r="N13" i="1"/>
  <c r="R13" i="1"/>
  <c r="J14" i="1"/>
  <c r="N14" i="1"/>
  <c r="R14" i="1"/>
  <c r="J15" i="1"/>
  <c r="N15" i="1"/>
  <c r="R15" i="1"/>
  <c r="J16" i="1"/>
  <c r="N16" i="1"/>
  <c r="R16" i="1"/>
  <c r="J17" i="1"/>
  <c r="N17" i="1"/>
  <c r="R17" i="1"/>
  <c r="B17" i="1"/>
  <c r="B16" i="1"/>
  <c r="B15" i="1"/>
  <c r="B14" i="1"/>
  <c r="B13" i="1"/>
  <c r="F17" i="1" l="1"/>
  <c r="F15" i="1"/>
  <c r="F16" i="1"/>
  <c r="F14" i="1"/>
</calcChain>
</file>

<file path=xl/sharedStrings.xml><?xml version="1.0" encoding="utf-8"?>
<sst xmlns="http://schemas.openxmlformats.org/spreadsheetml/2006/main" count="362" uniqueCount="136">
  <si>
    <t>Debt-Equity Ratio</t>
  </si>
  <si>
    <t>Operating Margin</t>
  </si>
  <si>
    <t>ROI</t>
  </si>
  <si>
    <t>Day accounts receivable</t>
  </si>
  <si>
    <t>Interest Coverage Ratio</t>
  </si>
  <si>
    <t>Pfizer</t>
  </si>
  <si>
    <t>Microsoft</t>
  </si>
  <si>
    <t>Apple</t>
  </si>
  <si>
    <t>Alphabet</t>
  </si>
  <si>
    <t>Merck</t>
  </si>
  <si>
    <t>GSK</t>
  </si>
  <si>
    <t>QUART 1</t>
  </si>
  <si>
    <t>QUART 2</t>
  </si>
  <si>
    <t>QUART 3</t>
  </si>
  <si>
    <t>QUART 4</t>
  </si>
  <si>
    <t>MIN</t>
  </si>
  <si>
    <t>Score</t>
  </si>
  <si>
    <t>Worst in Class</t>
  </si>
  <si>
    <t>BEST In Class</t>
  </si>
  <si>
    <t>Weighted Score (25 %)</t>
  </si>
  <si>
    <t>Weighted Score (20 %)</t>
  </si>
  <si>
    <t>Weighted Score (10 %)</t>
  </si>
  <si>
    <t>Total Score</t>
  </si>
  <si>
    <t>DEBT-EQUITY RATIO</t>
  </si>
  <si>
    <t>INTEREST COVERAGE RATIO</t>
  </si>
  <si>
    <t>OPERATING MARGIN</t>
  </si>
  <si>
    <t>RETURN ON INVESTMENT</t>
  </si>
  <si>
    <t>DAYS ACCOUNTS RECEIVABLES</t>
  </si>
  <si>
    <t>Company</t>
  </si>
  <si>
    <t>Row Labels</t>
  </si>
  <si>
    <t>Grand Total</t>
  </si>
  <si>
    <t>Sum of Debt-Equity Ratio</t>
  </si>
  <si>
    <t>(All)</t>
  </si>
  <si>
    <t>DEBT EQUITY RATIO ANALYSIS</t>
  </si>
  <si>
    <t>Sum of Interest Coverage Ratio</t>
  </si>
  <si>
    <t>Sum of Operating Margin</t>
  </si>
  <si>
    <t>Return on Investment</t>
  </si>
  <si>
    <t>Sum of ROI</t>
  </si>
  <si>
    <t>Days on Account Receivables</t>
  </si>
  <si>
    <t>Sum of Day accounts receivable</t>
  </si>
  <si>
    <t>Sum of Total Score</t>
  </si>
  <si>
    <t>TOTAL WEIGHTED SCORE</t>
  </si>
  <si>
    <t>Finance KPI</t>
  </si>
  <si>
    <t>CCC</t>
  </si>
  <si>
    <t>B</t>
  </si>
  <si>
    <t>BB</t>
  </si>
  <si>
    <t>BBB</t>
  </si>
  <si>
    <t>A</t>
  </si>
  <si>
    <t>Ratio</t>
  </si>
  <si>
    <t xml:space="preserve">Ratio </t>
  </si>
  <si>
    <t>Debt to Equity Ratio = Total Liabilities/ Shareholder's Equity</t>
  </si>
  <si>
    <t>Company (As of 31 Dec, 2024)</t>
  </si>
  <si>
    <t>Total Debt (In millions)</t>
  </si>
  <si>
    <t>Stockholder's Equity (In millions)</t>
  </si>
  <si>
    <t>Interest Coverage Ratio = -1 * Operating Income / Interest Expense</t>
  </si>
  <si>
    <t>*Microsft  Ratio is calculated as per June 2024 report</t>
  </si>
  <si>
    <t>Operating Income (in millions)</t>
  </si>
  <si>
    <t>Interest Expense (In millions)</t>
  </si>
  <si>
    <t>Revenue</t>
  </si>
  <si>
    <t>Percentage</t>
  </si>
  <si>
    <t>Operating Margin %= Operating Income / Revenue *100</t>
  </si>
  <si>
    <t>Revenue (in millions)</t>
  </si>
  <si>
    <t>Return on Investment = Net Operating Profit after Tax / Average Invested Capital</t>
  </si>
  <si>
    <t>Average Invested Capital (In millions) (Invested Capital Dec 2023 + Dec 2024)/2</t>
  </si>
  <si>
    <t>Days Account Receivables = Average Account Receivables / Revenue * 365</t>
  </si>
  <si>
    <t>Average Accounts Receivables(2023+2024)</t>
  </si>
  <si>
    <t>Days</t>
  </si>
  <si>
    <t>*Microsoft fiscal year taken June 2024</t>
  </si>
  <si>
    <t>*Microsoft fiscal year taken uptill June 2024</t>
  </si>
  <si>
    <t>*Apple fiscal year taken uptill Sept 2024</t>
  </si>
  <si>
    <t>Rating</t>
  </si>
  <si>
    <t>Days AR Range</t>
  </si>
  <si>
    <t>Based On</t>
  </si>
  <si>
    <t>Interpretation</t>
  </si>
  <si>
    <t>≤ Q1 (≤ 53.14 days)</t>
  </si>
  <si>
    <t>Top 25% (best)</t>
  </si>
  <si>
    <t>Excellent – very efficient collections</t>
  </si>
  <si>
    <t>53.15 – 62.36 days</t>
  </si>
  <si>
    <t>Q1 to Median (Q2)</t>
  </si>
  <si>
    <t>Good – slightly above average</t>
  </si>
  <si>
    <t>62.37 – 66.57 days</t>
  </si>
  <si>
    <t>Median to Q3</t>
  </si>
  <si>
    <t>Average – acceptable collection times</t>
  </si>
  <si>
    <t>66.58 – 78.63 days</t>
  </si>
  <si>
    <t>Q3 to Max</t>
  </si>
  <si>
    <t>Below average – slow collection trend</t>
  </si>
  <si>
    <t>&gt; Max (&gt; 78.63 days)</t>
  </si>
  <si>
    <t>Beyond Max / outlier</t>
  </si>
  <si>
    <t>Poor – at risk of major liquidity issues</t>
  </si>
  <si>
    <t>Debt-Equity Ratio – Quartile-Based Rating Categories</t>
  </si>
  <si>
    <t>D/E Ratio Range</t>
  </si>
  <si>
    <t>≤ Q1 (≤ 0.3679)</t>
  </si>
  <si>
    <t>Excellent – very low leverage</t>
  </si>
  <si>
    <t>0.368 – 0.7608</t>
  </si>
  <si>
    <t>Good – modest use of debt</t>
  </si>
  <si>
    <t>0.7609 – 1.04</t>
  </si>
  <si>
    <t>Average – moderately leveraged</t>
  </si>
  <si>
    <t>1.041 – 1.87</t>
  </si>
  <si>
    <t>Below average – relatively high leverage</t>
  </si>
  <si>
    <t>&gt; Max (&gt; 1.87)</t>
  </si>
  <si>
    <t>Poor – heavily leveraged, financial risk</t>
  </si>
  <si>
    <t xml:space="preserve">NOPAT </t>
  </si>
  <si>
    <t>Finance KPI Rating Scale</t>
  </si>
  <si>
    <t>Operating Margin (%)</t>
  </si>
  <si>
    <t>ROI (%)</t>
  </si>
  <si>
    <t>Days Accounts Receivable</t>
  </si>
  <si>
    <t>&lt; 1</t>
  </si>
  <si>
    <t>&gt; 1</t>
  </si>
  <si>
    <t>&gt; 2.5</t>
  </si>
  <si>
    <t>&gt; 4</t>
  </si>
  <si>
    <t>&gt; 9</t>
  </si>
  <si>
    <t>&lt; 0%</t>
  </si>
  <si>
    <t>&gt; 0%</t>
  </si>
  <si>
    <t>&gt; 5%</t>
  </si>
  <si>
    <t>&gt; 10%</t>
  </si>
  <si>
    <t>&gt; 15%</t>
  </si>
  <si>
    <t>&gt; 20%</t>
  </si>
  <si>
    <t>&lt; 0.7608</t>
  </si>
  <si>
    <t>&lt; 1.04</t>
  </si>
  <si>
    <t>&lt; 1.87</t>
  </si>
  <si>
    <t>&gt; 1.87</t>
  </si>
  <si>
    <t>≤ 0.3679</t>
  </si>
  <si>
    <t>≤ 53.14 days</t>
  </si>
  <si>
    <t xml:space="preserve">&lt; 62.36 </t>
  </si>
  <si>
    <t xml:space="preserve">&lt; 66.57 </t>
  </si>
  <si>
    <t xml:space="preserve">&lt; 78.63 </t>
  </si>
  <si>
    <t xml:space="preserve">&gt; 78.63 </t>
  </si>
  <si>
    <t xml:space="preserve">Company </t>
  </si>
  <si>
    <t xml:space="preserve">Debt-Equity Ratio </t>
  </si>
  <si>
    <t xml:space="preserve">Interest Coverage Ratio </t>
  </si>
  <si>
    <t xml:space="preserve">Operating Margin </t>
  </si>
  <si>
    <t xml:space="preserve">ROI </t>
  </si>
  <si>
    <t>Days AR</t>
  </si>
  <si>
    <t>Finance KPI Rating per Company</t>
  </si>
  <si>
    <t>Quartile Analysis</t>
  </si>
  <si>
    <t>Days Accounts Receivable – Quartile-Based Rating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</si>
</sst>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3" fillId="0" borderId="0" xfId="0" applyFont="1"/>
    <xf numFmtId="0" fontId="5" fillId="2" borderId="0" xfId="0" applyFont="1" applyFill="1"/>
    <xf numFmtId="0" fontId="3" fillId="2" borderId="0" xfId="0" applyFont="1" applyFill="1"/>
    <xf numFmtId="0" fontId="5" fillId="0" borderId="0" xfId="0" applyFont="1"/>
    <xf numFmtId="0" fontId="0" fillId="0" borderId="0" xfId="0" applyAlignment="1">
      <alignment horizontal="right"/>
    </xf>
    <xf numFmtId="11" fontId="0" fillId="2" borderId="0" xfId="0" applyNumberFormat="1" applyFill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7" fillId="0" borderId="1" xfId="0" applyFont="1" applyBorder="1"/>
    <xf numFmtId="0" fontId="6" fillId="0" borderId="1" xfId="0" applyFont="1" applyBorder="1"/>
    <xf numFmtId="10" fontId="6" fillId="0" borderId="1" xfId="0" applyNumberFormat="1" applyFont="1" applyBorder="1"/>
    <xf numFmtId="0" fontId="6" fillId="2" borderId="1" xfId="0" applyFont="1" applyFill="1" applyBorder="1"/>
    <xf numFmtId="10" fontId="6" fillId="2" borderId="1" xfId="0" applyNumberFormat="1" applyFont="1" applyFill="1" applyBorder="1"/>
    <xf numFmtId="0" fontId="9" fillId="0" borderId="1" xfId="0" applyFont="1" applyBorder="1"/>
    <xf numFmtId="0" fontId="10" fillId="0" borderId="1" xfId="0" applyFont="1" applyBorder="1"/>
    <xf numFmtId="10" fontId="0" fillId="0" borderId="1" xfId="0" applyNumberFormat="1" applyBorder="1"/>
    <xf numFmtId="10" fontId="0" fillId="2" borderId="1" xfId="0" applyNumberFormat="1" applyFill="1" applyBorder="1"/>
    <xf numFmtId="0" fontId="0" fillId="2" borderId="1" xfId="0" applyFill="1" applyBorder="1"/>
    <xf numFmtId="0" fontId="1" fillId="2" borderId="1" xfId="0" applyFont="1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7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Interest</a:t>
            </a:r>
            <a:r>
              <a:rPr lang="en-IN" baseline="0"/>
              <a:t> Coverage Ratio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Alphabet</c:v>
              </c:pt>
              <c:pt idx="1">
                <c:v>Apple</c:v>
              </c:pt>
              <c:pt idx="2">
                <c:v>GSK</c:v>
              </c:pt>
              <c:pt idx="3">
                <c:v>Merck</c:v>
              </c:pt>
              <c:pt idx="4">
                <c:v>Microsoft</c:v>
              </c:pt>
              <c:pt idx="5">
                <c:v>Pfizer</c:v>
              </c:pt>
            </c:strLit>
          </c:cat>
          <c:val>
            <c:numLit>
              <c:formatCode>General</c:formatCode>
              <c:ptCount val="6"/>
              <c:pt idx="0">
                <c:v>419.37</c:v>
              </c:pt>
              <c:pt idx="1">
                <c:v>9.9999999999999997E+98</c:v>
              </c:pt>
              <c:pt idx="2">
                <c:v>8.66</c:v>
              </c:pt>
              <c:pt idx="3">
                <c:v>15.91</c:v>
              </c:pt>
              <c:pt idx="4">
                <c:v>37.29</c:v>
              </c:pt>
              <c:pt idx="5">
                <c:v>4.3099999999999996</c:v>
              </c:pt>
            </c:numLit>
          </c:val>
          <c:extLst>
            <c:ext xmlns:c16="http://schemas.microsoft.com/office/drawing/2014/chart" uri="{C3380CC4-5D6E-409C-BE32-E72D297353CC}">
              <c16:uniqueId val="{00000000-ECD1-4A19-8269-6B15C39E9C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9072048"/>
        <c:axId val="819072528"/>
      </c:barChart>
      <c:catAx>
        <c:axId val="81907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9072528"/>
        <c:crosses val="autoZero"/>
        <c:auto val="1"/>
        <c:lblAlgn val="ctr"/>
        <c:lblOffset val="100"/>
        <c:noMultiLvlLbl val="0"/>
      </c:catAx>
      <c:valAx>
        <c:axId val="81907252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907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[Bishakha_final.xlsx]Operating Margin!PivotTable41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Operating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'Operating 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'Operating Margin'!$A$4:$A$10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'Operating Margin'!$B$4:$B$10</c:f>
              <c:numCache>
                <c:formatCode>0.00%</c:formatCode>
                <c:ptCount val="6"/>
                <c:pt idx="0">
                  <c:v>0.3211</c:v>
                </c:pt>
                <c:pt idx="1">
                  <c:v>0.34460000000000002</c:v>
                </c:pt>
                <c:pt idx="2">
                  <c:v>0.17660000000000001</c:v>
                </c:pt>
                <c:pt idx="3">
                  <c:v>0.31509999999999999</c:v>
                </c:pt>
                <c:pt idx="4">
                  <c:v>0.44640000000000002</c:v>
                </c:pt>
                <c:pt idx="5">
                  <c:v>0.23480000000000001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A-4CA3-855E-158D84967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05248"/>
        <c:axId val="818705728"/>
      </c:barChart>
      <c:catAx>
        <c:axId val="8187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8705728"/>
        <c:crosses val="autoZero"/>
        <c:auto val="1"/>
        <c:lblAlgn val="ctr"/>
        <c:lblOffset val="100"/>
        <c:noMultiLvlLbl val="0"/>
      </c:catAx>
      <c:valAx>
        <c:axId val="8187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870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[Bishakha_final.xlsx]ROI!PivotTable42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</a:t>
            </a:r>
            <a:r>
              <a:rPr lang="en-IN" baseline="0"/>
              <a:t> on Investment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ROI!$B$3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ROI!$A$4:$A$10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ROI!$B$4:$B$10</c:f>
              <c:numCache>
                <c:formatCode>0.00%</c:formatCode>
                <c:ptCount val="6"/>
                <c:pt idx="0">
                  <c:v>0.32479999999999998</c:v>
                </c:pt>
                <c:pt idx="1">
                  <c:v>0.32490000000000002</c:v>
                </c:pt>
                <c:pt idx="2">
                  <c:v>8.0699999999999994E-2</c:v>
                </c:pt>
                <c:pt idx="3">
                  <c:v>0.22159999999999999</c:v>
                </c:pt>
                <c:pt idx="4">
                  <c:v>0.2354</c:v>
                </c:pt>
                <c:pt idx="5">
                  <c:v>7.2300000000000003E-2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5-4E32-A3F0-1CF53678B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448160"/>
        <c:axId val="1562449600"/>
      </c:barChart>
      <c:catAx>
        <c:axId val="15624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62449600"/>
        <c:crosses val="autoZero"/>
        <c:auto val="1"/>
        <c:lblAlgn val="ctr"/>
        <c:lblOffset val="100"/>
        <c:noMultiLvlLbl val="0"/>
      </c:catAx>
      <c:valAx>
        <c:axId val="15624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6244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[Bishakha_final.xlsx]Days of Account Receivables!PivotTable43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Days Account</a:t>
            </a:r>
            <a:r>
              <a:rPr lang="en-IN" baseline="0"/>
              <a:t> Receivables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'Days of Account Receivables'!$B$3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'Days of Account Receivables'!$A$4:$A$10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'Days of Account Receivables'!$B$4:$B$10</c:f>
              <c:numCache>
                <c:formatCode>General</c:formatCode>
                <c:ptCount val="6"/>
                <c:pt idx="0">
                  <c:v>51.3</c:v>
                </c:pt>
                <c:pt idx="1">
                  <c:v>29.36</c:v>
                </c:pt>
                <c:pt idx="2">
                  <c:v>66.75</c:v>
                </c:pt>
                <c:pt idx="3">
                  <c:v>58.67</c:v>
                </c:pt>
                <c:pt idx="4">
                  <c:v>78.63</c:v>
                </c:pt>
                <c:pt idx="5">
                  <c:v>66.05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2-45E1-A09A-894918ED2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9694304"/>
        <c:axId val="859693824"/>
      </c:barChart>
      <c:catAx>
        <c:axId val="8596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9693824"/>
        <c:crosses val="autoZero"/>
        <c:auto val="1"/>
        <c:lblAlgn val="ctr"/>
        <c:lblOffset val="100"/>
        <c:noMultiLvlLbl val="0"/>
      </c:catAx>
      <c:valAx>
        <c:axId val="8596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96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[Bishakha_final.xlsx]Debt Equity Ratio!PivotTable1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Debt to Equity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'Debt Equity Ratio'!$B$3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'Debt Equity Ratio'!$A$4:$A$10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'Debt Equity Ratio'!$B$4:$B$10</c:f>
              <c:numCache>
                <c:formatCode>General</c:formatCode>
                <c:ptCount val="6"/>
                <c:pt idx="0">
                  <c:v>0.08</c:v>
                </c:pt>
                <c:pt idx="1">
                  <c:v>1.87</c:v>
                </c:pt>
                <c:pt idx="2">
                  <c:v>1.1200000000000001</c:v>
                </c:pt>
                <c:pt idx="3">
                  <c:v>0.8</c:v>
                </c:pt>
                <c:pt idx="4">
                  <c:v>0.25</c:v>
                </c:pt>
                <c:pt idx="5">
                  <c:v>0.72160000000000002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3-4B67-AD18-F3A5F76B1D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6546128"/>
        <c:axId val="1646560048"/>
      </c:barChart>
      <c:catAx>
        <c:axId val="164654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60048"/>
        <c:crosses val="autoZero"/>
        <c:auto val="1"/>
        <c:lblAlgn val="ctr"/>
        <c:lblOffset val="100"/>
        <c:noMultiLvlLbl val="0"/>
      </c:catAx>
      <c:valAx>
        <c:axId val="16465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4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to Equity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strLit>
          </c:cat>
          <c:val>
            <c:numLit>
              <c:formatCode>General</c:formatCode>
              <c:ptCount val="6"/>
              <c:pt idx="0">
                <c:v>1.45</c:v>
              </c:pt>
              <c:pt idx="1">
                <c:v>1.1200000000000001</c:v>
              </c:pt>
              <c:pt idx="2">
                <c:v>0.8</c:v>
              </c:pt>
              <c:pt idx="3">
                <c:v>0.72160000000000002</c:v>
              </c:pt>
              <c:pt idx="4">
                <c:v>0.21</c:v>
              </c:pt>
              <c:pt idx="5">
                <c:v>3.3500000000000002E-2</c:v>
              </c:pt>
            </c:numLit>
          </c:val>
          <c:extLst>
            <c:ext xmlns:c16="http://schemas.microsoft.com/office/drawing/2014/chart" uri="{C3380CC4-5D6E-409C-BE32-E72D297353CC}">
              <c16:uniqueId val="{00000000-D980-418C-9B7A-2C71ABC060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7153792"/>
        <c:axId val="817155712"/>
      </c:barChart>
      <c:catAx>
        <c:axId val="81715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7155712"/>
        <c:crosses val="autoZero"/>
        <c:auto val="1"/>
        <c:lblAlgn val="ctr"/>
        <c:lblOffset val="100"/>
        <c:noMultiLvlLbl val="0"/>
      </c:catAx>
      <c:valAx>
        <c:axId val="81715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71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[Bishakha_final.xlsx]Operating Margin!PivotTable41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</a:t>
            </a:r>
            <a:r>
              <a:rPr lang="en-US" baseline="0"/>
              <a:t> Margin Scoring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'Operating 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Margin'!$A$4:$A$10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'Operating Margin'!$B$4:$B$10</c:f>
              <c:numCache>
                <c:formatCode>0.00%</c:formatCode>
                <c:ptCount val="6"/>
                <c:pt idx="0">
                  <c:v>0.3211</c:v>
                </c:pt>
                <c:pt idx="1">
                  <c:v>0.34460000000000002</c:v>
                </c:pt>
                <c:pt idx="2">
                  <c:v>0.17660000000000001</c:v>
                </c:pt>
                <c:pt idx="3">
                  <c:v>0.31509999999999999</c:v>
                </c:pt>
                <c:pt idx="4">
                  <c:v>0.44640000000000002</c:v>
                </c:pt>
                <c:pt idx="5">
                  <c:v>0.23480000000000001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2-4040-BAEA-F3ECE8FBF9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705248"/>
        <c:axId val="818705728"/>
      </c:barChart>
      <c:catAx>
        <c:axId val="8187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8705728"/>
        <c:crosses val="autoZero"/>
        <c:auto val="1"/>
        <c:lblAlgn val="ctr"/>
        <c:lblOffset val="100"/>
        <c:noMultiLvlLbl val="0"/>
      </c:catAx>
      <c:valAx>
        <c:axId val="8187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870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[Bishakha_final.xlsx]ROI!PivotTable42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on Investment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ROI!$B$3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ROI!$A$4:$A$10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ROI!$B$4:$B$10</c:f>
              <c:numCache>
                <c:formatCode>0.00%</c:formatCode>
                <c:ptCount val="6"/>
                <c:pt idx="0">
                  <c:v>0.32479999999999998</c:v>
                </c:pt>
                <c:pt idx="1">
                  <c:v>0.32490000000000002</c:v>
                </c:pt>
                <c:pt idx="2">
                  <c:v>8.0699999999999994E-2</c:v>
                </c:pt>
                <c:pt idx="3">
                  <c:v>0.22159999999999999</c:v>
                </c:pt>
                <c:pt idx="4">
                  <c:v>0.2354</c:v>
                </c:pt>
                <c:pt idx="5">
                  <c:v>7.2300000000000003E-2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F-4C13-9AF6-AB654F302A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2448160"/>
        <c:axId val="1562449600"/>
      </c:barChart>
      <c:catAx>
        <c:axId val="15624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62449600"/>
        <c:crosses val="autoZero"/>
        <c:auto val="1"/>
        <c:lblAlgn val="ctr"/>
        <c:lblOffset val="100"/>
        <c:noMultiLvlLbl val="0"/>
      </c:catAx>
      <c:valAx>
        <c:axId val="15624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6244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[Bishakha_final.xlsx]Days of Account Receivables!PivotTable43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of Accounts Receivables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'Days of Account Receivables'!$B$3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'Days of Account Receivables'!$A$4:$A$10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'Days of Account Receivables'!$B$4:$B$10</c:f>
              <c:numCache>
                <c:formatCode>General</c:formatCode>
                <c:ptCount val="6"/>
                <c:pt idx="0">
                  <c:v>51.3</c:v>
                </c:pt>
                <c:pt idx="1">
                  <c:v>29.36</c:v>
                </c:pt>
                <c:pt idx="2">
                  <c:v>66.75</c:v>
                </c:pt>
                <c:pt idx="3">
                  <c:v>58.67</c:v>
                </c:pt>
                <c:pt idx="4">
                  <c:v>78.63</c:v>
                </c:pt>
                <c:pt idx="5">
                  <c:v>66.05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9-4C04-B7EF-27C18337F1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9694304"/>
        <c:axId val="859693824"/>
      </c:barChart>
      <c:catAx>
        <c:axId val="8596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9693824"/>
        <c:crosses val="autoZero"/>
        <c:auto val="1"/>
        <c:lblAlgn val="ctr"/>
        <c:lblOffset val="100"/>
        <c:noMultiLvlLbl val="0"/>
      </c:catAx>
      <c:valAx>
        <c:axId val="8596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96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[Bishakha_final.xlsx]Analysis!PivotTable51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Weighted</a:t>
            </a:r>
            <a:r>
              <a:rPr lang="en-US" baseline="0"/>
              <a:t>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Analysis!$A$6:$A$12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Analysis!$B$6:$B$12</c:f>
              <c:numCache>
                <c:formatCode>General</c:formatCode>
                <c:ptCount val="6"/>
                <c:pt idx="0">
                  <c:v>5.05</c:v>
                </c:pt>
                <c:pt idx="1">
                  <c:v>4.5500000000000007</c:v>
                </c:pt>
                <c:pt idx="2">
                  <c:v>1.9000000000000001</c:v>
                </c:pt>
                <c:pt idx="3">
                  <c:v>3.1</c:v>
                </c:pt>
                <c:pt idx="4">
                  <c:v>4.3499999999999996</c:v>
                </c:pt>
                <c:pt idx="5">
                  <c:v>2.0500000000000003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0-4B34-BD4B-755E77E2FF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3262000"/>
        <c:axId val="813261520"/>
      </c:barChart>
      <c:catAx>
        <c:axId val="81326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3261520"/>
        <c:crosses val="autoZero"/>
        <c:auto val="1"/>
        <c:lblAlgn val="ctr"/>
        <c:lblOffset val="100"/>
        <c:noMultiLvlLbl val="0"/>
      </c:catAx>
      <c:valAx>
        <c:axId val="8132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326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[Bishakha_final.xlsx]Interest Coverage Ratio!PivotTable40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</a:t>
            </a:r>
            <a:r>
              <a:rPr lang="en-US" baseline="0"/>
              <a:t> Coverage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'Interest Coverage Ratio'!$B$3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'Interest Coverage Ratio'!$A$4:$A$10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'Interest Coverage Ratio'!$B$4:$B$10</c:f>
              <c:numCache>
                <c:formatCode>General</c:formatCode>
                <c:ptCount val="6"/>
                <c:pt idx="0">
                  <c:v>4.3099999999999996</c:v>
                </c:pt>
                <c:pt idx="1">
                  <c:v>8.66</c:v>
                </c:pt>
                <c:pt idx="2">
                  <c:v>15.91</c:v>
                </c:pt>
                <c:pt idx="3">
                  <c:v>37.29</c:v>
                </c:pt>
                <c:pt idx="4">
                  <c:v>419.37</c:v>
                </c:pt>
                <c:pt idx="5">
                  <c:v>9.9999999999999997E+98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A-7B4F-8050-9A3AA7149D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3254320"/>
        <c:axId val="813254800"/>
      </c:barChart>
      <c:catAx>
        <c:axId val="81325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3254800"/>
        <c:crosses val="autoZero"/>
        <c:auto val="1"/>
        <c:lblAlgn val="ctr"/>
        <c:lblOffset val="100"/>
        <c:noMultiLvlLbl val="0"/>
      </c:catAx>
      <c:valAx>
        <c:axId val="813254800"/>
        <c:scaling>
          <c:orientation val="minMax"/>
          <c:max val="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325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[Bishakha_final.xlsx]Days of Account Receivables!PivotTable43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Days of</a:t>
            </a:r>
            <a:r>
              <a:rPr lang="en-IN" baseline="0"/>
              <a:t> Account Receivables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'Days of Account Receivables'!$B$3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'Days of Account Receivables'!$A$4:$A$10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'Days of Account Receivables'!$B$4:$B$10</c:f>
              <c:numCache>
                <c:formatCode>General</c:formatCode>
                <c:ptCount val="6"/>
                <c:pt idx="0">
                  <c:v>51.3</c:v>
                </c:pt>
                <c:pt idx="1">
                  <c:v>29.36</c:v>
                </c:pt>
                <c:pt idx="2">
                  <c:v>66.75</c:v>
                </c:pt>
                <c:pt idx="3">
                  <c:v>58.67</c:v>
                </c:pt>
                <c:pt idx="4">
                  <c:v>78.63</c:v>
                </c:pt>
                <c:pt idx="5">
                  <c:v>66.05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B-443E-9703-6927C63CEB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9694304"/>
        <c:axId val="859693824"/>
      </c:barChart>
      <c:catAx>
        <c:axId val="8596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9693824"/>
        <c:crosses val="autoZero"/>
        <c:auto val="1"/>
        <c:lblAlgn val="ctr"/>
        <c:lblOffset val="100"/>
        <c:noMultiLvlLbl val="0"/>
      </c:catAx>
      <c:valAx>
        <c:axId val="8596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96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[Bishakha_final.xlsx]Operating Margin!PivotTable41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Operating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'Operating 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Margin'!$A$4:$A$10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'Operating Margin'!$B$4:$B$10</c:f>
              <c:numCache>
                <c:formatCode>0.00%</c:formatCode>
                <c:ptCount val="6"/>
                <c:pt idx="0">
                  <c:v>0.3211</c:v>
                </c:pt>
                <c:pt idx="1">
                  <c:v>0.34460000000000002</c:v>
                </c:pt>
                <c:pt idx="2">
                  <c:v>0.17660000000000001</c:v>
                </c:pt>
                <c:pt idx="3">
                  <c:v>0.31509999999999999</c:v>
                </c:pt>
                <c:pt idx="4">
                  <c:v>0.44640000000000002</c:v>
                </c:pt>
                <c:pt idx="5">
                  <c:v>0.23480000000000001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9-41FF-95BD-432991F17A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705248"/>
        <c:axId val="818705728"/>
      </c:barChart>
      <c:catAx>
        <c:axId val="8187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8705728"/>
        <c:crosses val="autoZero"/>
        <c:auto val="1"/>
        <c:lblAlgn val="ctr"/>
        <c:lblOffset val="100"/>
        <c:noMultiLvlLbl val="0"/>
      </c:catAx>
      <c:valAx>
        <c:axId val="8187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870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[Bishakha_final.xlsx]ROI!PivotTable42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 on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ROI!$B$3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ROI!$A$4:$A$10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ROI!$B$4:$B$10</c:f>
              <c:numCache>
                <c:formatCode>0.00%</c:formatCode>
                <c:ptCount val="6"/>
                <c:pt idx="0">
                  <c:v>0.32479999999999998</c:v>
                </c:pt>
                <c:pt idx="1">
                  <c:v>0.32490000000000002</c:v>
                </c:pt>
                <c:pt idx="2">
                  <c:v>8.0699999999999994E-2</c:v>
                </c:pt>
                <c:pt idx="3">
                  <c:v>0.22159999999999999</c:v>
                </c:pt>
                <c:pt idx="4">
                  <c:v>0.2354</c:v>
                </c:pt>
                <c:pt idx="5">
                  <c:v>7.2300000000000003E-2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2-4A27-8679-A98197A185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2448160"/>
        <c:axId val="1562449600"/>
      </c:barChart>
      <c:catAx>
        <c:axId val="15624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62449600"/>
        <c:crosses val="autoZero"/>
        <c:auto val="1"/>
        <c:lblAlgn val="ctr"/>
        <c:lblOffset val="100"/>
        <c:noMultiLvlLbl val="0"/>
      </c:catAx>
      <c:valAx>
        <c:axId val="15624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6244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[Bishakha_final.xlsx]Weighed Score!PivotTable50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Weighted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'Weighed Score'!$B$3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'Weighed Score'!$A$4:$A$10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'Weighed Score'!$B$4:$B$10</c:f>
              <c:numCache>
                <c:formatCode>General</c:formatCode>
                <c:ptCount val="6"/>
                <c:pt idx="0">
                  <c:v>5.05</c:v>
                </c:pt>
                <c:pt idx="1">
                  <c:v>4.5500000000000007</c:v>
                </c:pt>
                <c:pt idx="2">
                  <c:v>1.9000000000000001</c:v>
                </c:pt>
                <c:pt idx="3">
                  <c:v>3.1</c:v>
                </c:pt>
                <c:pt idx="4">
                  <c:v>4.3499999999999996</c:v>
                </c:pt>
                <c:pt idx="5">
                  <c:v>2.0500000000000003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0-4A93-9D98-E832B4AA38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9812864"/>
        <c:axId val="859814304"/>
      </c:barChart>
      <c:catAx>
        <c:axId val="8598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9814304"/>
        <c:crosses val="autoZero"/>
        <c:auto val="1"/>
        <c:lblAlgn val="ctr"/>
        <c:lblOffset val="100"/>
        <c:noMultiLvlLbl val="0"/>
      </c:catAx>
      <c:valAx>
        <c:axId val="8598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981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[Bishakha_final.xlsx]Debt Equity Ratio!PivotTable1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Debt Equity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'Debt Equity Ratio'!$B$3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'Debt Equity Ratio'!$A$4:$A$10</c:f>
              <c:strCache>
                <c:ptCount val="6"/>
                <c:pt idx="0">
                  <c:v>Alphabet</c:v>
                </c:pt>
                <c:pt idx="1">
                  <c:v>Apple</c:v>
                </c:pt>
                <c:pt idx="2">
                  <c:v>GSK</c:v>
                </c:pt>
                <c:pt idx="3">
                  <c:v>Merck</c:v>
                </c:pt>
                <c:pt idx="4">
                  <c:v>Microsoft</c:v>
                </c:pt>
                <c:pt idx="5">
                  <c:v>Pfizer</c:v>
                </c:pt>
              </c:strCache>
            </c:strRef>
          </c:cat>
          <c:val>
            <c:numRef>
              <c:f>'Debt Equity Ratio'!$B$4:$B$10</c:f>
              <c:numCache>
                <c:formatCode>General</c:formatCode>
                <c:ptCount val="6"/>
                <c:pt idx="0">
                  <c:v>0.08</c:v>
                </c:pt>
                <c:pt idx="1">
                  <c:v>1.87</c:v>
                </c:pt>
                <c:pt idx="2">
                  <c:v>1.1200000000000001</c:v>
                </c:pt>
                <c:pt idx="3">
                  <c:v>0.8</c:v>
                </c:pt>
                <c:pt idx="4">
                  <c:v>0.25</c:v>
                </c:pt>
                <c:pt idx="5">
                  <c:v>0.72160000000000002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F-444B-BC40-F23E2E898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6546128"/>
        <c:axId val="1646560048"/>
      </c:barChart>
      <c:catAx>
        <c:axId val="164654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60048"/>
        <c:crosses val="autoZero"/>
        <c:auto val="1"/>
        <c:lblAlgn val="ctr"/>
        <c:lblOffset val="100"/>
        <c:noMultiLvlLbl val="0"/>
      </c:catAx>
      <c:valAx>
        <c:axId val="16465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4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[Bishakha_final.xlsx]Interest Coverage Ratio!PivotTable40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Interest Coverage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'Interest Coverage Ratio'!$B$3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'Interest Coverage Ratio'!$A$4:$A$10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'Interest Coverage Ratio'!$B$4:$B$10</c:f>
              <c:numCache>
                <c:formatCode>General</c:formatCode>
                <c:ptCount val="6"/>
                <c:pt idx="0">
                  <c:v>4.3099999999999996</c:v>
                </c:pt>
                <c:pt idx="1">
                  <c:v>8.66</c:v>
                </c:pt>
                <c:pt idx="2">
                  <c:v>15.91</c:v>
                </c:pt>
                <c:pt idx="3">
                  <c:v>37.29</c:v>
                </c:pt>
                <c:pt idx="4">
                  <c:v>419.37</c:v>
                </c:pt>
                <c:pt idx="5">
                  <c:v>9.9999999999999997E+98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2-4E52-994D-47457713D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3254320"/>
        <c:axId val="813254800"/>
      </c:barChart>
      <c:catAx>
        <c:axId val="81325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3254800"/>
        <c:crosses val="autoZero"/>
        <c:auto val="1"/>
        <c:lblAlgn val="ctr"/>
        <c:lblOffset val="100"/>
        <c:noMultiLvlLbl val="0"/>
      </c:catAx>
      <c:valAx>
        <c:axId val="813254800"/>
        <c:scaling>
          <c:orientation val="minMax"/>
          <c:max val="9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325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90714</xdr:colOff>
      <xdr:row>13</xdr:row>
      <xdr:rowOff>0</xdr:rowOff>
    </xdr:from>
    <xdr:to>
      <xdr:col>12</xdr:col>
      <xdr:colOff>326572</xdr:colOff>
      <xdr:row>26</xdr:row>
      <xdr:rowOff>148772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EFE251-3E1E-407F-9DA4-C0D8DCBA4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81642</xdr:colOff>
      <xdr:row>27</xdr:row>
      <xdr:rowOff>18143</xdr:rowOff>
    </xdr:from>
    <xdr:to>
      <xdr:col>12</xdr:col>
      <xdr:colOff>390071</xdr:colOff>
      <xdr:row>40</xdr:row>
      <xdr:rowOff>166915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3B644B-39A8-4F03-A861-609E59B33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81643</xdr:colOff>
      <xdr:row>41</xdr:row>
      <xdr:rowOff>0</xdr:rowOff>
    </xdr:from>
    <xdr:to>
      <xdr:col>12</xdr:col>
      <xdr:colOff>362857</xdr:colOff>
      <xdr:row>54</xdr:row>
      <xdr:rowOff>148772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9CA2C6-FEFB-4E94-B9C7-B75BF5509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-1</xdr:colOff>
      <xdr:row>56</xdr:row>
      <xdr:rowOff>0</xdr:rowOff>
    </xdr:from>
    <xdr:to>
      <xdr:col>12</xdr:col>
      <xdr:colOff>553356</xdr:colOff>
      <xdr:row>69</xdr:row>
      <xdr:rowOff>148771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8BF7BD-F17E-44B6-9666-19565CE87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32656</xdr:colOff>
      <xdr:row>0</xdr:row>
      <xdr:rowOff>0</xdr:rowOff>
    </xdr:from>
    <xdr:to>
      <xdr:col>12</xdr:col>
      <xdr:colOff>272142</xdr:colOff>
      <xdr:row>11</xdr:row>
      <xdr:rowOff>174172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ADED10-7E11-43C2-815B-B864E14FC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19538</xdr:colOff>
      <xdr:row>18</xdr:row>
      <xdr:rowOff>9769</xdr:rowOff>
    </xdr:from>
    <xdr:to>
      <xdr:col>8</xdr:col>
      <xdr:colOff>117230</xdr:colOff>
      <xdr:row>32</xdr:row>
      <xdr:rowOff>17585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C4F73C6-D126-4F56-B70A-40E16C7AC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9769</xdr:colOff>
      <xdr:row>52</xdr:row>
      <xdr:rowOff>0</xdr:rowOff>
    </xdr:from>
    <xdr:to>
      <xdr:col>8</xdr:col>
      <xdr:colOff>107461</xdr:colOff>
      <xdr:row>66</xdr:row>
      <xdr:rowOff>7815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B865AFD-EF80-4D30-9E24-3A7AD774A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9770</xdr:colOff>
      <xdr:row>69</xdr:row>
      <xdr:rowOff>9769</xdr:rowOff>
    </xdr:from>
    <xdr:to>
      <xdr:col>8</xdr:col>
      <xdr:colOff>107462</xdr:colOff>
      <xdr:row>83</xdr:row>
      <xdr:rowOff>17585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2BFE7AB-3CF6-4E23-BD8E-144B744BE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</xdr:colOff>
      <xdr:row>86</xdr:row>
      <xdr:rowOff>29308</xdr:rowOff>
    </xdr:from>
    <xdr:to>
      <xdr:col>8</xdr:col>
      <xdr:colOff>97693</xdr:colOff>
      <xdr:row>100</xdr:row>
      <xdr:rowOff>37123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EC71D0A-A505-4B57-8F14-B55E2B982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43961</xdr:colOff>
      <xdr:row>2</xdr:row>
      <xdr:rowOff>10747</xdr:rowOff>
    </xdr:from>
    <xdr:to>
      <xdr:col>11</xdr:col>
      <xdr:colOff>459152</xdr:colOff>
      <xdr:row>15</xdr:row>
      <xdr:rowOff>39078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823594-BEAA-F5A3-FBF5-1C9F702FD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23092</xdr:colOff>
      <xdr:row>36</xdr:row>
      <xdr:rowOff>0</xdr:rowOff>
    </xdr:from>
    <xdr:to>
      <xdr:col>8</xdr:col>
      <xdr:colOff>163946</xdr:colOff>
      <xdr:row>47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41368-B32F-7F44-89B7-E0A41DE6E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0</xdr:row>
      <xdr:rowOff>0</xdr:rowOff>
    </xdr:from>
    <xdr:to>
      <xdr:col>8</xdr:col>
      <xdr:colOff>644525</xdr:colOff>
      <xdr:row>13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97B59-307E-AAC4-E720-B01C950CF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8</xdr:col>
      <xdr:colOff>619125</xdr:colOff>
      <xdr:row>13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271B5-A7E2-BD74-F4FA-6EA4F7199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0</xdr:row>
      <xdr:rowOff>0</xdr:rowOff>
    </xdr:from>
    <xdr:to>
      <xdr:col>8</xdr:col>
      <xdr:colOff>657225</xdr:colOff>
      <xdr:row>13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45DD2-61EA-E24A-7667-5C8C3F88B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174625</xdr:rowOff>
    </xdr:from>
    <xdr:to>
      <xdr:col>6</xdr:col>
      <xdr:colOff>152400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F0212-F149-111F-45BC-6FB12AD8B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179070</xdr:colOff>
      <xdr:row>1</xdr:row>
      <xdr:rowOff>125730</xdr:rowOff>
    </xdr:from>
    <xdr:to>
      <xdr:col>9</xdr:col>
      <xdr:colOff>57150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D2DE9-22C6-A820-3F5B-59772FAF9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263525</xdr:colOff>
      <xdr:row>1</xdr:row>
      <xdr:rowOff>174625</xdr:rowOff>
    </xdr:from>
    <xdr:to>
      <xdr:col>11</xdr:col>
      <xdr:colOff>123825</xdr:colOff>
      <xdr:row>11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73F7B-0C88-DAA7-F2BD-472BADF30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hakha.nihalani@basf.com" refreshedDate="45769.751751620373" createdVersion="8" refreshedVersion="8" minRefreshableVersion="3" recordCount="6" xr:uid="{3F8B13D1-8D2F-4C47-8A29-D5D2C38657CF}">
  <cacheSource type="worksheet">
    <worksheetSource ref="I2:K8" sheet="Scoring Model"/>
  </cacheSource>
  <cacheFields count="3">
    <cacheField name="Company" numFmtId="0">
      <sharedItems count="6">
        <s v="Pfizer"/>
        <s v="Microsoft"/>
        <s v="Apple"/>
        <s v="Alphabet"/>
        <s v="Merck"/>
        <s v="GSK"/>
      </sharedItems>
    </cacheField>
    <cacheField name="Operating Margin" numFmtId="10">
      <sharedItems containsSemiMixedTypes="0" containsString="0" containsNumber="1" minValue="0.17660000000000001" maxValue="0.44640000000000002"/>
    </cacheField>
    <cacheField name="Score" numFmtId="0">
      <sharedItems containsSemiMixedTypes="0" containsString="0" containsNumber="1" containsInteger="1" minValue="1" maxValue="6" count="6">
        <n v="2"/>
        <n v="6"/>
        <n v="5"/>
        <n v="4"/>
        <n v="3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hakha.nihalani@basf.com" refreshedDate="45769.755193750003" createdVersion="8" refreshedVersion="8" minRefreshableVersion="3" recordCount="6" xr:uid="{A931B8BA-4D12-4430-B2A3-31BB2BACF78A}">
  <cacheSource type="worksheet">
    <worksheetSource ref="M2:O8" sheet="Scoring Model"/>
  </cacheSource>
  <cacheFields count="3">
    <cacheField name="Company" numFmtId="0">
      <sharedItems count="6">
        <s v="Pfizer"/>
        <s v="Microsoft"/>
        <s v="Apple"/>
        <s v="Alphabet"/>
        <s v="Merck"/>
        <s v="GSK"/>
      </sharedItems>
    </cacheField>
    <cacheField name="ROI" numFmtId="10">
      <sharedItems containsSemiMixedTypes="0" containsString="0" containsNumber="1" minValue="7.2300000000000003E-2" maxValue="0.32490000000000002"/>
    </cacheField>
    <cacheField name="Score" numFmtId="0">
      <sharedItems containsSemiMixedTypes="0" containsString="0" containsNumber="1" containsInteger="1" minValue="1" maxValue="6" count="6">
        <n v="1"/>
        <n v="4"/>
        <n v="6"/>
        <n v="5"/>
        <n v="3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hakha.nihalani@basf.com" refreshedDate="45769.757282523147" createdVersion="8" refreshedVersion="8" minRefreshableVersion="3" recordCount="6" xr:uid="{51C4FF90-8A00-483B-B860-CC5061AA3194}">
  <cacheSource type="worksheet">
    <worksheetSource ref="Q2:S8" sheet="Scoring Model"/>
  </cacheSource>
  <cacheFields count="3">
    <cacheField name="Company" numFmtId="0">
      <sharedItems count="6">
        <s v="Pfizer"/>
        <s v="Microsoft"/>
        <s v="Apple"/>
        <s v="Alphabet"/>
        <s v="Merck"/>
        <s v="GSK"/>
      </sharedItems>
    </cacheField>
    <cacheField name="Day accounts receivable" numFmtId="0">
      <sharedItems containsSemiMixedTypes="0" containsString="0" containsNumber="1" minValue="29.36" maxValue="78.63"/>
    </cacheField>
    <cacheField name="Score" numFmtId="0">
      <sharedItems containsSemiMixedTypes="0" containsString="0" containsNumber="1" containsInteger="1" minValue="1" maxValue="6" count="6">
        <n v="2"/>
        <n v="1"/>
        <n v="6"/>
        <n v="5"/>
        <n v="4"/>
        <n v="3"/>
      </sharedItems>
    </cacheField>
  </cacheFields>
  <extLst>
    <ext xmlns:x14="http://schemas.microsoft.com/office/spreadsheetml/2009/9/main" uri="{725AE2AE-9491-48be-B2B4-4EB974FC3084}">
      <x14:pivotCacheDefinition pivotCacheId="1609086552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hakha.nihalani@basf.com" refreshedDate="45769.808943750002" createdVersion="8" refreshedVersion="8" minRefreshableVersion="3" recordCount="6" xr:uid="{A1DC5EBF-2B12-4104-946D-B6D516AC7579}">
  <cacheSource type="worksheet">
    <worksheetSource ref="U2:V8" sheet="Scoring Model"/>
  </cacheSource>
  <cacheFields count="2">
    <cacheField name="Company" numFmtId="0">
      <sharedItems count="6">
        <s v="Pfizer"/>
        <s v="Microsoft"/>
        <s v="Apple"/>
        <s v="Alphabet"/>
        <s v="Merck"/>
        <s v="GSK"/>
      </sharedItems>
    </cacheField>
    <cacheField name="Total Score" numFmtId="0">
      <sharedItems containsSemiMixedTypes="0" containsString="0" containsNumber="1" minValue="1.9000000000000001" maxValue="5.05" count="6">
        <n v="2.0500000000000003"/>
        <n v="4.3499999999999996"/>
        <n v="4.5500000000000007"/>
        <n v="5.05"/>
        <n v="3.1"/>
        <n v="1.90000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hakha.nihalani@basf.com" refreshedDate="45769.991822569442" createdVersion="8" refreshedVersion="8" minRefreshableVersion="3" recordCount="6" xr:uid="{17616DDC-5F2E-43DB-A453-4112F3998BB4}">
  <cacheSource type="worksheet">
    <worksheetSource ref="E2:G8" sheet="Scoring Model"/>
  </cacheSource>
  <cacheFields count="3">
    <cacheField name="Company" numFmtId="0">
      <sharedItems count="6">
        <s v="Pfizer"/>
        <s v="Microsoft"/>
        <s v="Apple"/>
        <s v="Alphabet"/>
        <s v="Merck"/>
        <s v="GSK"/>
      </sharedItems>
    </cacheField>
    <cacheField name="Interest Coverage Ratio" numFmtId="0">
      <sharedItems containsSemiMixedTypes="0" containsString="0" containsNumber="1" minValue="4.3099999999999996" maxValue="9.9999999999999997E+98"/>
    </cacheField>
    <cacheField name="Score" numFmtId="0">
      <sharedItems containsSemiMixedTypes="0" containsString="0" containsNumber="1" containsInteger="1" minValue="1" maxValue="6" count="6">
        <n v="1"/>
        <n v="4"/>
        <n v="6"/>
        <n v="5"/>
        <n v="3"/>
        <n v="2"/>
      </sharedItems>
    </cacheField>
  </cacheFields>
  <extLst>
    <ext xmlns:x14="http://schemas.microsoft.com/office/spreadsheetml/2009/9/main" uri="{725AE2AE-9491-48be-B2B4-4EB974FC3084}">
      <x14:pivotCacheDefinition pivotCacheId="165859132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70.045761458336" createdVersion="8" refreshedVersion="8" minRefreshableVersion="3" recordCount="6" xr:uid="{67ED90B3-4FB0-481F-8D91-5096D5A08646}">
  <cacheSource type="worksheet">
    <worksheetSource ref="A2:C8" sheet="Scoring Model"/>
  </cacheSource>
  <cacheFields count="3">
    <cacheField name="Company" numFmtId="0">
      <sharedItems count="6">
        <s v="Pfizer"/>
        <s v="Microsoft"/>
        <s v="Apple"/>
        <s v="Alphabet"/>
        <s v="Merck"/>
        <s v="GSK"/>
      </sharedItems>
    </cacheField>
    <cacheField name="Debt-Equity Ratio" numFmtId="0">
      <sharedItems containsSemiMixedTypes="0" containsString="0" containsNumber="1" minValue="0.08" maxValue="1.87"/>
    </cacheField>
    <cacheField name="Score" numFmtId="0">
      <sharedItems containsSemiMixedTypes="0" containsString="0" containsNumber="1" containsInteger="1" minValue="1" maxValue="6" count="6">
        <n v="4"/>
        <n v="5"/>
        <n v="1"/>
        <n v="6"/>
        <n v="3"/>
        <n v="2"/>
      </sharedItems>
    </cacheField>
  </cacheFields>
  <extLst>
    <ext xmlns:x14="http://schemas.microsoft.com/office/spreadsheetml/2009/9/main" uri="{725AE2AE-9491-48be-B2B4-4EB974FC3084}">
      <x14:pivotCacheDefinition pivotCacheId="10115482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.23480000000000001"/>
    <x v="0"/>
  </r>
  <r>
    <x v="1"/>
    <n v="0.44640000000000002"/>
    <x v="1"/>
  </r>
  <r>
    <x v="2"/>
    <n v="0.34460000000000002"/>
    <x v="2"/>
  </r>
  <r>
    <x v="3"/>
    <n v="0.3211"/>
    <x v="3"/>
  </r>
  <r>
    <x v="4"/>
    <n v="0.31509999999999999"/>
    <x v="4"/>
  </r>
  <r>
    <x v="5"/>
    <n v="0.17660000000000001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7.2300000000000003E-2"/>
    <x v="0"/>
  </r>
  <r>
    <x v="1"/>
    <n v="0.2354"/>
    <x v="1"/>
  </r>
  <r>
    <x v="2"/>
    <n v="0.32490000000000002"/>
    <x v="2"/>
  </r>
  <r>
    <x v="3"/>
    <n v="0.32479999999999998"/>
    <x v="3"/>
  </r>
  <r>
    <x v="4"/>
    <n v="0.22159999999999999"/>
    <x v="4"/>
  </r>
  <r>
    <x v="5"/>
    <n v="8.0699999999999994E-2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66.05"/>
    <x v="0"/>
  </r>
  <r>
    <x v="1"/>
    <n v="78.63"/>
    <x v="1"/>
  </r>
  <r>
    <x v="2"/>
    <n v="29.36"/>
    <x v="2"/>
  </r>
  <r>
    <x v="3"/>
    <n v="51.3"/>
    <x v="3"/>
  </r>
  <r>
    <x v="4"/>
    <n v="58.67"/>
    <x v="4"/>
  </r>
  <r>
    <x v="5"/>
    <n v="66.75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</r>
  <r>
    <x v="1"/>
    <x v="1"/>
  </r>
  <r>
    <x v="2"/>
    <x v="2"/>
  </r>
  <r>
    <x v="3"/>
    <x v="3"/>
  </r>
  <r>
    <x v="4"/>
    <x v="4"/>
  </r>
  <r>
    <x v="5"/>
    <x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.3099999999999996"/>
    <x v="0"/>
  </r>
  <r>
    <x v="1"/>
    <n v="37.29"/>
    <x v="1"/>
  </r>
  <r>
    <x v="2"/>
    <n v="9.9999999999999997E+98"/>
    <x v="2"/>
  </r>
  <r>
    <x v="3"/>
    <n v="419.37"/>
    <x v="3"/>
  </r>
  <r>
    <x v="4"/>
    <n v="15.91"/>
    <x v="4"/>
  </r>
  <r>
    <x v="5"/>
    <n v="8.66"/>
    <x v="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.72160000000000002"/>
    <x v="0"/>
  </r>
  <r>
    <x v="1"/>
    <n v="0.25"/>
    <x v="1"/>
  </r>
  <r>
    <x v="2"/>
    <n v="1.87"/>
    <x v="2"/>
  </r>
  <r>
    <x v="3"/>
    <n v="0.08"/>
    <x v="3"/>
  </r>
  <r>
    <x v="4"/>
    <n v="0.8"/>
    <x v="4"/>
  </r>
  <r>
    <x v="5"/>
    <n v="1.120000000000000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8B321-E48D-4BC9-AC72-1AB6FD77CD21}" name="PivotTable2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B28" firstHeaderRow="1" firstDataRow="1" firstDataCol="1" rowPageCount="1" colPageCount="1"/>
  <pivotFields count="3">
    <pivotField axis="axisPage" multipleItemSelectionAllowed="1" showAll="0">
      <items count="7">
        <item x="3"/>
        <item x="2"/>
        <item x="5"/>
        <item x="4"/>
        <item x="1"/>
        <item x="0"/>
        <item t="default"/>
      </items>
    </pivotField>
    <pivotField dataField="1" showAll="0"/>
    <pivotField axis="axisRow" showAll="0">
      <items count="7">
        <item x="2"/>
        <item x="5"/>
        <item x="4"/>
        <item x="0"/>
        <item x="1"/>
        <item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-1"/>
  </pageFields>
  <dataFields count="1">
    <dataField name="Sum of Debt-Equity Ratio" fld="1" baseField="0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9D991-7985-4561-849F-18C6F9106E45}" name="PivotTable6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9:B46" firstHeaderRow="1" firstDataRow="1" firstDataCol="1" rowPageCount="1" colPageCount="1"/>
  <pivotFields count="3">
    <pivotField axis="axisPage" showAll="0">
      <items count="7">
        <item x="3"/>
        <item x="2"/>
        <item x="5"/>
        <item x="4"/>
        <item x="1"/>
        <item x="0"/>
        <item t="default"/>
      </items>
    </pivotField>
    <pivotField dataField="1" showAll="0"/>
    <pivotField axis="axisRow" showAll="0">
      <items count="7">
        <item x="0"/>
        <item x="5"/>
        <item x="4"/>
        <item x="1"/>
        <item x="3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-1"/>
  </pageFields>
  <dataFields count="1">
    <dataField name="Sum of Interest Coverage Ratio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EEADA-A245-4CC6-9224-64AC58DB7426}" name="PivotTable5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:B12" firstHeaderRow="1" firstDataRow="1" firstDataCol="1"/>
  <pivotFields count="2">
    <pivotField axis="axisRow" showAll="0">
      <items count="7">
        <item x="3"/>
        <item x="2"/>
        <item x="5"/>
        <item x="4"/>
        <item x="1"/>
        <item x="0"/>
        <item t="default"/>
      </items>
    </pivotField>
    <pivotField dataField="1" showAll="0">
      <items count="7">
        <item x="5"/>
        <item x="0"/>
        <item x="4"/>
        <item x="1"/>
        <item x="2"/>
        <item x="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core" fld="1" baseField="0" baseItem="0"/>
  </dataFields>
  <formats count="2">
    <format dxfId="6">
      <pivotArea collapsedLevelsAreSubtotals="1" fieldPosition="0">
        <references count="1">
          <reference field="0" count="1">
            <x v="0"/>
          </reference>
        </references>
      </pivotArea>
    </format>
    <format dxfId="5">
      <pivotArea dataOnly="0" labelOnly="1" fieldPosition="0">
        <references count="1">
          <reference field="0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8881A-CD3C-4B04-8E82-CBF4955D0628}" name="PivotTable3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89:B96" firstHeaderRow="1" firstDataRow="1" firstDataCol="1" rowPageCount="1" colPageCount="1"/>
  <pivotFields count="3">
    <pivotField axis="axisPage" multipleItemSelectionAllowed="1" showAll="0">
      <items count="7">
        <item x="3"/>
        <item x="2"/>
        <item x="5"/>
        <item x="4"/>
        <item x="1"/>
        <item x="0"/>
        <item t="default"/>
      </items>
    </pivotField>
    <pivotField dataField="1" showAll="0"/>
    <pivotField axis="axisRow" showAll="0">
      <items count="7">
        <item x="1"/>
        <item x="0"/>
        <item x="5"/>
        <item x="4"/>
        <item x="3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-1"/>
  </pageFields>
  <dataFields count="1">
    <dataField name="Sum of Day accounts receivabl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09171-32AF-4890-8F20-AF8D50635634}" name="PivotTable3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2:B79" firstHeaderRow="1" firstDataRow="1" firstDataCol="1" rowPageCount="1" colPageCount="1"/>
  <pivotFields count="3">
    <pivotField axis="axisPage" showAll="0">
      <items count="7">
        <item x="3"/>
        <item x="2"/>
        <item x="5"/>
        <item x="4"/>
        <item x="1"/>
        <item x="0"/>
        <item t="default"/>
      </items>
    </pivotField>
    <pivotField dataField="1" numFmtId="10" showAll="0"/>
    <pivotField axis="axisRow" showAll="0">
      <items count="7">
        <item x="0"/>
        <item x="5"/>
        <item x="4"/>
        <item x="1"/>
        <item x="3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-1"/>
  </pageFields>
  <dataFields count="1">
    <dataField name="Sum of ROI" fld="1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CBF8A-D4F0-4A26-B580-349756412EC3}" name="PivotTable3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5:B62" firstHeaderRow="1" firstDataRow="1" firstDataCol="1" rowPageCount="1" colPageCount="1"/>
  <pivotFields count="3">
    <pivotField axis="axisPage" showAll="0">
      <items count="7">
        <item x="3"/>
        <item x="2"/>
        <item x="5"/>
        <item x="4"/>
        <item x="1"/>
        <item x="0"/>
        <item t="default"/>
      </items>
    </pivotField>
    <pivotField dataField="1" numFmtId="10" showAll="0"/>
    <pivotField axis="axisRow" showAll="0">
      <items count="7">
        <item x="5"/>
        <item x="0"/>
        <item x="4"/>
        <item x="3"/>
        <item x="2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-1"/>
  </pageFields>
  <dataFields count="1">
    <dataField name="Sum of Operating Margin" fld="1" baseField="2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A4A49-1747-4081-A98B-329ADABD27A6}" name="PivotTable4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3">
    <pivotField axis="axisRow" multipleItemSelectionAllowed="1" showAll="0">
      <items count="7">
        <item x="3"/>
        <item x="2"/>
        <item x="5"/>
        <item x="4"/>
        <item x="1"/>
        <item x="0"/>
        <item t="default"/>
      </items>
    </pivotField>
    <pivotField dataField="1" showAll="0"/>
    <pivotField showAll="0">
      <items count="7">
        <item x="1"/>
        <item x="0"/>
        <item x="5"/>
        <item x="4"/>
        <item x="3"/>
        <item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ay accounts receivable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C75A6-3968-4F6A-B247-34A45AC981E5}" name="PivotTable4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3">
    <pivotField axis="axisRow" showAll="0">
      <items count="7">
        <item x="3"/>
        <item x="2"/>
        <item x="5"/>
        <item x="4"/>
        <item x="1"/>
        <item x="0"/>
        <item t="default"/>
      </items>
    </pivotField>
    <pivotField dataField="1" numFmtId="10" showAll="0"/>
    <pivotField showAll="0">
      <items count="7">
        <item x="5"/>
        <item x="0"/>
        <item x="4"/>
        <item x="3"/>
        <item x="2"/>
        <item x="1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perating Margin" fld="1" baseField="2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88B52-32B6-4C19-B6D7-D0255AC351BE}" name="PivotTable4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3">
    <pivotField axis="axisRow" showAll="0">
      <items count="7">
        <item x="3"/>
        <item x="2"/>
        <item x="5"/>
        <item x="4"/>
        <item x="1"/>
        <item x="0"/>
        <item t="default"/>
      </items>
    </pivotField>
    <pivotField dataField="1" numFmtId="10" showAll="0"/>
    <pivotField showAll="0">
      <items count="7">
        <item x="0"/>
        <item x="5"/>
        <item x="4"/>
        <item x="1"/>
        <item x="3"/>
        <item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OI" fld="1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BBD04-9A89-4F8F-AD44-B387BFB99299}" name="PivotTable5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2">
    <pivotField axis="axisRow" showAll="0">
      <items count="7">
        <item x="3"/>
        <item x="2"/>
        <item x="5"/>
        <item x="4"/>
        <item x="1"/>
        <item x="0"/>
        <item t="default"/>
      </items>
    </pivotField>
    <pivotField dataField="1" showAll="0">
      <items count="7">
        <item x="5"/>
        <item x="0"/>
        <item x="4"/>
        <item x="1"/>
        <item x="2"/>
        <item x="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cor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76374-AE9E-4ADE-880A-1554FB102881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3:B10" firstHeaderRow="1" firstDataRow="1" firstDataCol="1"/>
  <pivotFields count="3">
    <pivotField axis="axisRow" showAll="0">
      <items count="7">
        <item x="3"/>
        <item x="2"/>
        <item x="5"/>
        <item x="4"/>
        <item x="1"/>
        <item x="0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ebt-Equity Ratio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917BE-0567-4232-B59E-A0105ADDDF2D}" name="PivotTable4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 rowPageCount="1" colPageCount="1"/>
  <pivotFields count="3">
    <pivotField axis="axisPage" multipleItemSelectionAllowed="1" showAll="0">
      <items count="7">
        <item x="3"/>
        <item x="2"/>
        <item x="5"/>
        <item x="4"/>
        <item x="1"/>
        <item x="0"/>
        <item t="default"/>
      </items>
    </pivotField>
    <pivotField dataField="1" showAll="0"/>
    <pivotField axis="axisRow" showAll="0">
      <items count="7">
        <item x="0"/>
        <item x="5"/>
        <item x="4"/>
        <item x="1"/>
        <item x="3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-1"/>
  </pageFields>
  <dataFields count="1">
    <dataField name="Sum of Interest Coverage Ratio" fld="1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2" type="button" dataOnly="0" labelOnly="1" outline="0" axis="axisRow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9FBD3-CD47-4908-B30E-D3A575F20EE0}">
  <dimension ref="A1:H65"/>
  <sheetViews>
    <sheetView zoomScale="89" zoomScaleNormal="70" workbookViewId="0">
      <selection activeCell="D56" sqref="D56"/>
    </sheetView>
  </sheetViews>
  <sheetFormatPr defaultColWidth="8.796875" defaultRowHeight="15.6" x14ac:dyDescent="0.3"/>
  <cols>
    <col min="1" max="1" width="40" customWidth="1"/>
    <col min="2" max="2" width="19.296875" customWidth="1"/>
    <col min="3" max="3" width="25.19921875" customWidth="1"/>
    <col min="4" max="4" width="20.69921875" customWidth="1"/>
    <col min="5" max="5" width="7" customWidth="1"/>
    <col min="6" max="6" width="6.69921875" bestFit="1" customWidth="1"/>
    <col min="7" max="7" width="7.69921875" customWidth="1"/>
    <col min="8" max="8" width="6.69921875" bestFit="1" customWidth="1"/>
    <col min="9" max="9" width="10.69921875" bestFit="1" customWidth="1"/>
  </cols>
  <sheetData>
    <row r="1" spans="1:8" ht="15.45" customHeight="1" x14ac:dyDescent="0.3">
      <c r="A1" s="38" t="s">
        <v>50</v>
      </c>
      <c r="B1" s="38"/>
      <c r="C1" s="38"/>
      <c r="D1" s="38"/>
      <c r="E1" s="1"/>
      <c r="F1" s="1"/>
      <c r="G1" s="1"/>
      <c r="H1" s="1"/>
    </row>
    <row r="2" spans="1:8" x14ac:dyDescent="0.3">
      <c r="A2" s="38"/>
      <c r="B2" s="38"/>
      <c r="C2" s="38"/>
      <c r="D2" s="38"/>
      <c r="E2" s="1"/>
      <c r="F2" s="1"/>
      <c r="G2" s="1"/>
      <c r="H2" s="1"/>
    </row>
    <row r="3" spans="1:8" x14ac:dyDescent="0.3">
      <c r="A3" s="13" t="s">
        <v>51</v>
      </c>
      <c r="B3" s="13" t="s">
        <v>52</v>
      </c>
      <c r="C3" s="13" t="s">
        <v>53</v>
      </c>
      <c r="D3" s="13" t="s">
        <v>49</v>
      </c>
    </row>
    <row r="4" spans="1:8" x14ac:dyDescent="0.3">
      <c r="A4" s="14" t="s">
        <v>5</v>
      </c>
      <c r="B4" s="14">
        <v>63649</v>
      </c>
      <c r="C4" s="14">
        <v>88203</v>
      </c>
      <c r="D4" s="14">
        <v>0.72</v>
      </c>
    </row>
    <row r="5" spans="1:8" x14ac:dyDescent="0.3">
      <c r="A5" s="14" t="s">
        <v>6</v>
      </c>
      <c r="B5" s="14">
        <v>67127</v>
      </c>
      <c r="C5" s="14">
        <v>268477</v>
      </c>
      <c r="D5" s="14">
        <v>0.25</v>
      </c>
    </row>
    <row r="6" spans="1:8" x14ac:dyDescent="0.3">
      <c r="A6" s="14" t="s">
        <v>7</v>
      </c>
      <c r="B6" s="14">
        <v>106629</v>
      </c>
      <c r="C6" s="14">
        <v>56950</v>
      </c>
      <c r="D6" s="14">
        <v>1.87</v>
      </c>
    </row>
    <row r="7" spans="1:8" x14ac:dyDescent="0.3">
      <c r="A7" s="15" t="s">
        <v>8</v>
      </c>
      <c r="B7" s="16">
        <v>25461</v>
      </c>
      <c r="C7" s="16">
        <v>325084</v>
      </c>
      <c r="D7" s="16">
        <v>0.08</v>
      </c>
    </row>
    <row r="8" spans="1:8" x14ac:dyDescent="0.3">
      <c r="A8" s="14" t="s">
        <v>9</v>
      </c>
      <c r="B8" s="14">
        <v>37111</v>
      </c>
      <c r="C8" s="14">
        <v>46313</v>
      </c>
      <c r="D8" s="14">
        <v>0.8</v>
      </c>
    </row>
    <row r="9" spans="1:8" x14ac:dyDescent="0.3">
      <c r="A9" s="14" t="s">
        <v>10</v>
      </c>
      <c r="B9" s="14">
        <v>21474.080000000002</v>
      </c>
      <c r="C9" s="14">
        <v>17283.186000000002</v>
      </c>
      <c r="D9" s="14">
        <v>1.24</v>
      </c>
    </row>
    <row r="10" spans="1:8" x14ac:dyDescent="0.3">
      <c r="A10" s="1" t="s">
        <v>68</v>
      </c>
    </row>
    <row r="11" spans="1:8" x14ac:dyDescent="0.3">
      <c r="A11" s="13" t="s">
        <v>69</v>
      </c>
    </row>
    <row r="14" spans="1:8" x14ac:dyDescent="0.3">
      <c r="A14" s="38" t="s">
        <v>54</v>
      </c>
      <c r="B14" s="38"/>
      <c r="C14" s="38"/>
      <c r="D14" s="38"/>
    </row>
    <row r="15" spans="1:8" x14ac:dyDescent="0.3">
      <c r="A15" s="38"/>
      <c r="B15" s="38"/>
      <c r="C15" s="38"/>
      <c r="D15" s="38"/>
    </row>
    <row r="16" spans="1:8" x14ac:dyDescent="0.3">
      <c r="A16" s="13" t="s">
        <v>51</v>
      </c>
      <c r="B16" s="13" t="s">
        <v>56</v>
      </c>
      <c r="C16" s="13" t="s">
        <v>57</v>
      </c>
      <c r="D16" s="13" t="s">
        <v>48</v>
      </c>
    </row>
    <row r="17" spans="1:4" x14ac:dyDescent="0.3">
      <c r="A17" s="14" t="s">
        <v>5</v>
      </c>
      <c r="B17">
        <v>14938</v>
      </c>
      <c r="C17">
        <v>-3091</v>
      </c>
      <c r="D17">
        <v>4.83</v>
      </c>
    </row>
    <row r="18" spans="1:4" x14ac:dyDescent="0.3">
      <c r="A18" s="14" t="s">
        <v>6</v>
      </c>
      <c r="B18" s="18">
        <v>109433</v>
      </c>
      <c r="C18">
        <v>-2935</v>
      </c>
      <c r="D18">
        <v>37.29</v>
      </c>
    </row>
    <row r="19" spans="1:4" x14ac:dyDescent="0.3">
      <c r="A19" s="16" t="s">
        <v>7</v>
      </c>
      <c r="B19" s="10">
        <v>123216</v>
      </c>
      <c r="C19" s="10">
        <v>0</v>
      </c>
      <c r="D19" s="19">
        <v>9.9999999999999997E+98</v>
      </c>
    </row>
    <row r="20" spans="1:4" x14ac:dyDescent="0.3">
      <c r="A20" s="17" t="s">
        <v>8</v>
      </c>
      <c r="B20">
        <v>112390</v>
      </c>
      <c r="C20">
        <v>-268</v>
      </c>
      <c r="D20">
        <v>419.37</v>
      </c>
    </row>
    <row r="21" spans="1:4" x14ac:dyDescent="0.3">
      <c r="A21" s="14" t="s">
        <v>9</v>
      </c>
      <c r="B21">
        <v>20221</v>
      </c>
      <c r="C21">
        <v>-1271</v>
      </c>
      <c r="D21">
        <v>15.91</v>
      </c>
    </row>
    <row r="22" spans="1:4" x14ac:dyDescent="0.3">
      <c r="A22" s="14" t="s">
        <v>10</v>
      </c>
      <c r="B22">
        <v>7006.3209999999999</v>
      </c>
      <c r="C22">
        <v>-809.10199999999998</v>
      </c>
      <c r="D22">
        <v>8.66</v>
      </c>
    </row>
    <row r="23" spans="1:4" x14ac:dyDescent="0.3">
      <c r="A23" s="14" t="s">
        <v>55</v>
      </c>
    </row>
    <row r="28" spans="1:4" x14ac:dyDescent="0.3">
      <c r="A28" s="38" t="s">
        <v>60</v>
      </c>
      <c r="B28" s="38"/>
      <c r="C28" s="38"/>
      <c r="D28" s="38"/>
    </row>
    <row r="29" spans="1:4" x14ac:dyDescent="0.3">
      <c r="A29" s="38"/>
      <c r="B29" s="38"/>
      <c r="C29" s="38"/>
      <c r="D29" s="38"/>
    </row>
    <row r="30" spans="1:4" x14ac:dyDescent="0.3">
      <c r="A30" s="25" t="s">
        <v>51</v>
      </c>
      <c r="B30" s="25" t="s">
        <v>56</v>
      </c>
      <c r="C30" s="25" t="s">
        <v>61</v>
      </c>
      <c r="D30" s="25" t="s">
        <v>59</v>
      </c>
    </row>
    <row r="31" spans="1:4" x14ac:dyDescent="0.3">
      <c r="A31" s="26" t="s">
        <v>5</v>
      </c>
      <c r="B31" s="26">
        <v>14938</v>
      </c>
      <c r="C31" s="26">
        <v>63627</v>
      </c>
      <c r="D31" s="27">
        <v>0.23480000000000001</v>
      </c>
    </row>
    <row r="32" spans="1:4" x14ac:dyDescent="0.3">
      <c r="A32" s="28" t="s">
        <v>6</v>
      </c>
      <c r="B32" s="28">
        <v>109433</v>
      </c>
      <c r="C32" s="28">
        <v>245122</v>
      </c>
      <c r="D32" s="29">
        <v>0.44640000000000002</v>
      </c>
    </row>
    <row r="33" spans="1:4" x14ac:dyDescent="0.3">
      <c r="A33" s="26" t="s">
        <v>7</v>
      </c>
      <c r="B33" s="26">
        <v>123216</v>
      </c>
      <c r="C33" s="26">
        <v>391035</v>
      </c>
      <c r="D33" s="27">
        <v>0.31509999999999999</v>
      </c>
    </row>
    <row r="34" spans="1:4" x14ac:dyDescent="0.3">
      <c r="A34" s="30" t="s">
        <v>8</v>
      </c>
      <c r="B34" s="26">
        <v>112390</v>
      </c>
      <c r="C34" s="26">
        <v>350018</v>
      </c>
      <c r="D34" s="27">
        <v>0.3211</v>
      </c>
    </row>
    <row r="35" spans="1:4" x14ac:dyDescent="0.3">
      <c r="A35" s="26" t="s">
        <v>9</v>
      </c>
      <c r="B35" s="26">
        <v>20221</v>
      </c>
      <c r="C35" s="26">
        <v>64168</v>
      </c>
      <c r="D35" s="27">
        <v>0.31509999999999999</v>
      </c>
    </row>
    <row r="36" spans="1:4" x14ac:dyDescent="0.3">
      <c r="A36" s="26" t="s">
        <v>10</v>
      </c>
      <c r="B36" s="26">
        <v>7006.3209999999999</v>
      </c>
      <c r="C36" s="26">
        <v>39666.245000000003</v>
      </c>
      <c r="D36" s="27">
        <v>0.17660000000000001</v>
      </c>
    </row>
    <row r="42" spans="1:4" x14ac:dyDescent="0.3">
      <c r="A42" s="38" t="s">
        <v>62</v>
      </c>
      <c r="B42" s="38"/>
      <c r="C42" s="38"/>
      <c r="D42" s="38"/>
    </row>
    <row r="43" spans="1:4" x14ac:dyDescent="0.3">
      <c r="A43" s="38"/>
      <c r="B43" s="38"/>
      <c r="C43" s="38"/>
      <c r="D43" s="38"/>
    </row>
    <row r="44" spans="1:4" x14ac:dyDescent="0.3">
      <c r="A44" s="25" t="s">
        <v>51</v>
      </c>
      <c r="B44" s="26" t="s">
        <v>101</v>
      </c>
      <c r="C44" s="26" t="s">
        <v>63</v>
      </c>
      <c r="D44" s="26" t="s">
        <v>59</v>
      </c>
    </row>
    <row r="45" spans="1:4" x14ac:dyDescent="0.3">
      <c r="A45" s="26" t="s">
        <v>5</v>
      </c>
      <c r="B45" s="26">
        <v>14990.282999999999</v>
      </c>
      <c r="C45" s="26">
        <v>207292</v>
      </c>
      <c r="D45" s="27">
        <v>7.2300000000000003E-2</v>
      </c>
    </row>
    <row r="46" spans="1:4" x14ac:dyDescent="0.3">
      <c r="A46" s="26" t="s">
        <v>6</v>
      </c>
      <c r="B46" s="26">
        <v>89483.36</v>
      </c>
      <c r="C46" s="26">
        <v>380161.5</v>
      </c>
      <c r="D46" s="27">
        <v>0.2354</v>
      </c>
    </row>
    <row r="47" spans="1:4" x14ac:dyDescent="0.3">
      <c r="A47" s="28" t="s">
        <v>7</v>
      </c>
      <c r="B47" s="28">
        <v>93533.26</v>
      </c>
      <c r="C47" s="28">
        <v>287859.5</v>
      </c>
      <c r="D47" s="29">
        <v>0.32490000000000002</v>
      </c>
    </row>
    <row r="48" spans="1:4" x14ac:dyDescent="0.3">
      <c r="A48" s="30" t="s">
        <v>8</v>
      </c>
      <c r="B48" s="26">
        <v>93913</v>
      </c>
      <c r="C48" s="26">
        <v>289157</v>
      </c>
      <c r="D48" s="27">
        <v>0.32479999999999998</v>
      </c>
    </row>
    <row r="49" spans="1:4" x14ac:dyDescent="0.3">
      <c r="A49" s="26" t="s">
        <v>9</v>
      </c>
      <c r="B49" s="26">
        <v>17377.919999999998</v>
      </c>
      <c r="C49" s="26">
        <v>78426</v>
      </c>
      <c r="D49" s="27">
        <v>0.22159999999999999</v>
      </c>
    </row>
    <row r="50" spans="1:4" x14ac:dyDescent="0.3">
      <c r="A50" s="26" t="s">
        <v>10</v>
      </c>
      <c r="B50" s="26">
        <v>5946.26</v>
      </c>
      <c r="C50" s="26">
        <v>73651</v>
      </c>
      <c r="D50" s="27">
        <v>8.0699999999999994E-2</v>
      </c>
    </row>
    <row r="57" spans="1:4" x14ac:dyDescent="0.3">
      <c r="A57" s="38" t="s">
        <v>64</v>
      </c>
      <c r="B57" s="38"/>
      <c r="C57" s="38"/>
      <c r="D57" s="38"/>
    </row>
    <row r="58" spans="1:4" x14ac:dyDescent="0.3">
      <c r="A58" s="38"/>
      <c r="B58" s="38"/>
      <c r="C58" s="38"/>
      <c r="D58" s="38"/>
    </row>
    <row r="59" spans="1:4" x14ac:dyDescent="0.3">
      <c r="A59" s="25" t="s">
        <v>51</v>
      </c>
      <c r="B59" s="26" t="s">
        <v>65</v>
      </c>
      <c r="C59" s="26" t="s">
        <v>58</v>
      </c>
      <c r="D59" s="26" t="s">
        <v>66</v>
      </c>
    </row>
    <row r="60" spans="1:4" x14ac:dyDescent="0.3">
      <c r="A60" s="26" t="s">
        <v>5</v>
      </c>
      <c r="B60" s="26">
        <v>11514.5</v>
      </c>
      <c r="C60" s="26">
        <v>63627</v>
      </c>
      <c r="D60" s="26">
        <v>66.05</v>
      </c>
    </row>
    <row r="61" spans="1:4" x14ac:dyDescent="0.3">
      <c r="A61" s="26" t="s">
        <v>6</v>
      </c>
      <c r="B61" s="26">
        <v>52806</v>
      </c>
      <c r="C61" s="26">
        <v>245122</v>
      </c>
      <c r="D61" s="26">
        <v>78.63</v>
      </c>
    </row>
    <row r="62" spans="1:4" x14ac:dyDescent="0.3">
      <c r="A62" s="28" t="s">
        <v>7</v>
      </c>
      <c r="B62" s="28">
        <v>31459</v>
      </c>
      <c r="C62" s="28">
        <v>391035</v>
      </c>
      <c r="D62" s="28">
        <v>29.36</v>
      </c>
    </row>
    <row r="63" spans="1:4" x14ac:dyDescent="0.3">
      <c r="A63" s="30" t="s">
        <v>8</v>
      </c>
      <c r="B63" s="26">
        <v>50152</v>
      </c>
      <c r="C63" s="26">
        <v>350018</v>
      </c>
      <c r="D63" s="26">
        <v>52.3</v>
      </c>
    </row>
    <row r="64" spans="1:4" x14ac:dyDescent="0.3">
      <c r="A64" s="26" t="s">
        <v>9</v>
      </c>
      <c r="B64" s="26">
        <v>10313.5</v>
      </c>
      <c r="C64" s="26">
        <v>64168</v>
      </c>
      <c r="D64" s="26">
        <v>58.67</v>
      </c>
    </row>
    <row r="65" spans="1:4" x14ac:dyDescent="0.3">
      <c r="A65" s="26" t="s">
        <v>10</v>
      </c>
      <c r="B65" s="26">
        <v>7253.777</v>
      </c>
      <c r="C65" s="26">
        <v>39666.245000000003</v>
      </c>
      <c r="D65" s="26">
        <v>66.75</v>
      </c>
    </row>
  </sheetData>
  <mergeCells count="5">
    <mergeCell ref="A42:D43"/>
    <mergeCell ref="A57:D58"/>
    <mergeCell ref="A1:D2"/>
    <mergeCell ref="A14:D15"/>
    <mergeCell ref="A28:D29"/>
  </mergeCells>
  <pageMargins left="0.7" right="0.7" top="0.75" bottom="0.75" header="0.3" footer="0.3"/>
  <headerFooter>
    <oddFooter>&amp;C_x000D_&amp;1#&amp;"Arial"&amp;10&amp;K000000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1629-38F3-4C4F-B80A-1B5B3D15AF36}">
  <dimension ref="A1:K96"/>
  <sheetViews>
    <sheetView topLeftCell="A17" zoomScale="55" workbookViewId="0">
      <selection activeCell="M83" sqref="M83"/>
    </sheetView>
  </sheetViews>
  <sheetFormatPr defaultColWidth="8.796875" defaultRowHeight="15.6" x14ac:dyDescent="0.3"/>
  <cols>
    <col min="1" max="1" width="13.5" bestFit="1" customWidth="1"/>
    <col min="2" max="2" width="22.296875" bestFit="1" customWidth="1"/>
    <col min="3" max="3" width="11.296875" customWidth="1"/>
    <col min="4" max="4" width="14.796875" customWidth="1"/>
    <col min="5" max="5" width="16.19921875" customWidth="1"/>
    <col min="6" max="6" width="24.296875" customWidth="1"/>
    <col min="7" max="7" width="7" bestFit="1" customWidth="1"/>
    <col min="8" max="8" width="11.19921875" bestFit="1" customWidth="1"/>
    <col min="9" max="9" width="4.296875" customWidth="1"/>
  </cols>
  <sheetData>
    <row r="1" spans="1:11" x14ac:dyDescent="0.3">
      <c r="A1" s="39" t="s">
        <v>41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x14ac:dyDescent="0.3">
      <c r="A3" s="3"/>
    </row>
    <row r="5" spans="1:11" x14ac:dyDescent="0.3">
      <c r="A5" s="4" t="s">
        <v>29</v>
      </c>
      <c r="B5" t="s">
        <v>40</v>
      </c>
    </row>
    <row r="6" spans="1:11" x14ac:dyDescent="0.3">
      <c r="A6" s="12" t="s">
        <v>8</v>
      </c>
      <c r="B6" s="10">
        <v>5.05</v>
      </c>
    </row>
    <row r="7" spans="1:11" x14ac:dyDescent="0.3">
      <c r="A7" s="5" t="s">
        <v>7</v>
      </c>
      <c r="B7">
        <v>4.5500000000000007</v>
      </c>
    </row>
    <row r="8" spans="1:11" x14ac:dyDescent="0.3">
      <c r="A8" s="5" t="s">
        <v>10</v>
      </c>
      <c r="B8">
        <v>1.9000000000000001</v>
      </c>
    </row>
    <row r="9" spans="1:11" x14ac:dyDescent="0.3">
      <c r="A9" s="5" t="s">
        <v>9</v>
      </c>
      <c r="B9">
        <v>3.1</v>
      </c>
    </row>
    <row r="10" spans="1:11" x14ac:dyDescent="0.3">
      <c r="A10" s="5" t="s">
        <v>6</v>
      </c>
      <c r="B10">
        <v>4.3499999999999996</v>
      </c>
    </row>
    <row r="11" spans="1:11" x14ac:dyDescent="0.3">
      <c r="A11" s="5" t="s">
        <v>5</v>
      </c>
      <c r="B11">
        <v>2.0500000000000003</v>
      </c>
    </row>
    <row r="12" spans="1:11" x14ac:dyDescent="0.3">
      <c r="A12" s="5" t="s">
        <v>30</v>
      </c>
      <c r="B12">
        <v>21.000000000000004</v>
      </c>
    </row>
    <row r="17" spans="1:11" x14ac:dyDescent="0.3">
      <c r="A17" s="39" t="s">
        <v>33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</row>
    <row r="18" spans="1:11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</row>
    <row r="19" spans="1:11" x14ac:dyDescent="0.3">
      <c r="A19" s="4" t="s">
        <v>28</v>
      </c>
      <c r="B19" t="s">
        <v>32</v>
      </c>
      <c r="C19" s="1" t="s">
        <v>28</v>
      </c>
      <c r="D19" s="1" t="s">
        <v>16</v>
      </c>
    </row>
    <row r="20" spans="1:11" x14ac:dyDescent="0.3">
      <c r="C20" s="1" t="s">
        <v>5</v>
      </c>
      <c r="D20">
        <v>4</v>
      </c>
    </row>
    <row r="21" spans="1:11" x14ac:dyDescent="0.3">
      <c r="A21" s="4" t="s">
        <v>29</v>
      </c>
      <c r="B21" t="s">
        <v>31</v>
      </c>
      <c r="C21" s="1" t="s">
        <v>6</v>
      </c>
      <c r="D21">
        <v>5</v>
      </c>
    </row>
    <row r="22" spans="1:11" x14ac:dyDescent="0.3">
      <c r="A22" s="5">
        <v>1</v>
      </c>
      <c r="B22">
        <v>1.87</v>
      </c>
      <c r="C22" s="1" t="s">
        <v>7</v>
      </c>
      <c r="D22">
        <v>1</v>
      </c>
    </row>
    <row r="23" spans="1:11" x14ac:dyDescent="0.3">
      <c r="A23" s="5">
        <v>2</v>
      </c>
      <c r="B23">
        <v>1.1200000000000001</v>
      </c>
      <c r="C23" s="9" t="s">
        <v>8</v>
      </c>
      <c r="D23" s="10">
        <v>6</v>
      </c>
    </row>
    <row r="24" spans="1:11" x14ac:dyDescent="0.3">
      <c r="A24" s="5">
        <v>3</v>
      </c>
      <c r="B24">
        <v>0.8</v>
      </c>
      <c r="C24" s="1" t="s">
        <v>9</v>
      </c>
      <c r="D24">
        <v>3</v>
      </c>
    </row>
    <row r="25" spans="1:11" x14ac:dyDescent="0.3">
      <c r="A25" s="5">
        <v>4</v>
      </c>
      <c r="B25">
        <v>0.72160000000000002</v>
      </c>
      <c r="C25" s="1" t="s">
        <v>10</v>
      </c>
      <c r="D25">
        <v>2</v>
      </c>
      <c r="J25" s="1"/>
      <c r="K25" s="1"/>
    </row>
    <row r="26" spans="1:11" x14ac:dyDescent="0.3">
      <c r="A26" s="5">
        <v>5</v>
      </c>
      <c r="B26">
        <v>0.25</v>
      </c>
      <c r="J26" s="1"/>
      <c r="K26" s="1"/>
    </row>
    <row r="27" spans="1:11" x14ac:dyDescent="0.3">
      <c r="A27" s="5">
        <v>6</v>
      </c>
      <c r="B27">
        <v>0.08</v>
      </c>
      <c r="J27" s="1"/>
      <c r="K27" s="1"/>
    </row>
    <row r="28" spans="1:11" x14ac:dyDescent="0.3">
      <c r="A28" s="5" t="s">
        <v>30</v>
      </c>
      <c r="B28">
        <v>4.8415999999999997</v>
      </c>
      <c r="J28" s="1"/>
      <c r="K28" s="1"/>
    </row>
    <row r="29" spans="1:11" x14ac:dyDescent="0.3">
      <c r="J29" s="1"/>
      <c r="K29" s="1"/>
    </row>
    <row r="30" spans="1:11" x14ac:dyDescent="0.3">
      <c r="J30" s="1"/>
      <c r="K30" s="1"/>
    </row>
    <row r="31" spans="1:11" x14ac:dyDescent="0.3">
      <c r="J31" s="1"/>
      <c r="K31" s="1"/>
    </row>
    <row r="34" spans="1:11" x14ac:dyDescent="0.3">
      <c r="A34" s="39" t="s">
        <v>24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</row>
    <row r="35" spans="1:11" x14ac:dyDescent="0.3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</row>
    <row r="37" spans="1:11" x14ac:dyDescent="0.3">
      <c r="A37" s="4" t="s">
        <v>28</v>
      </c>
      <c r="B37" t="s">
        <v>32</v>
      </c>
      <c r="C37" s="1" t="s">
        <v>28</v>
      </c>
      <c r="D37" s="1" t="s">
        <v>16</v>
      </c>
      <c r="E37" s="1"/>
    </row>
    <row r="38" spans="1:11" x14ac:dyDescent="0.3">
      <c r="C38" s="1" t="s">
        <v>5</v>
      </c>
      <c r="D38">
        <v>1</v>
      </c>
      <c r="E38" s="1"/>
    </row>
    <row r="39" spans="1:11" x14ac:dyDescent="0.3">
      <c r="A39" s="4" t="s">
        <v>29</v>
      </c>
      <c r="B39" t="s">
        <v>34</v>
      </c>
      <c r="C39" s="1" t="s">
        <v>6</v>
      </c>
      <c r="D39">
        <v>4</v>
      </c>
      <c r="E39" s="1"/>
    </row>
    <row r="40" spans="1:11" x14ac:dyDescent="0.3">
      <c r="A40" s="5">
        <v>1</v>
      </c>
      <c r="B40">
        <v>4.3099999999999996</v>
      </c>
      <c r="C40" s="9" t="s">
        <v>7</v>
      </c>
      <c r="D40" s="10">
        <v>6</v>
      </c>
      <c r="E40" s="1"/>
    </row>
    <row r="41" spans="1:11" x14ac:dyDescent="0.3">
      <c r="A41" s="5">
        <v>2</v>
      </c>
      <c r="B41">
        <v>8.66</v>
      </c>
      <c r="C41" s="1" t="s">
        <v>8</v>
      </c>
      <c r="D41">
        <v>5</v>
      </c>
      <c r="E41" s="1"/>
    </row>
    <row r="42" spans="1:11" x14ac:dyDescent="0.3">
      <c r="A42" s="5">
        <v>3</v>
      </c>
      <c r="B42">
        <v>15.91</v>
      </c>
      <c r="C42" s="1" t="s">
        <v>9</v>
      </c>
      <c r="D42">
        <v>3</v>
      </c>
      <c r="E42" s="1"/>
    </row>
    <row r="43" spans="1:11" x14ac:dyDescent="0.3">
      <c r="A43" s="5">
        <v>4</v>
      </c>
      <c r="B43">
        <v>37.29</v>
      </c>
      <c r="C43" s="1" t="s">
        <v>10</v>
      </c>
      <c r="D43">
        <v>2</v>
      </c>
      <c r="E43" s="1"/>
    </row>
    <row r="44" spans="1:11" x14ac:dyDescent="0.3">
      <c r="A44" s="5">
        <v>5</v>
      </c>
      <c r="B44">
        <v>419.37</v>
      </c>
    </row>
    <row r="45" spans="1:11" x14ac:dyDescent="0.3">
      <c r="A45" s="5">
        <v>6</v>
      </c>
      <c r="B45">
        <v>9.9999999999999997E+98</v>
      </c>
    </row>
    <row r="46" spans="1:11" x14ac:dyDescent="0.3">
      <c r="A46" s="5" t="s">
        <v>30</v>
      </c>
      <c r="B46">
        <v>9.9999999999999997E+98</v>
      </c>
    </row>
    <row r="51" spans="1:11" x14ac:dyDescent="0.3">
      <c r="A51" s="39" t="s">
        <v>1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</row>
    <row r="52" spans="1:11" x14ac:dyDescent="0.3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</row>
    <row r="53" spans="1:11" x14ac:dyDescent="0.3">
      <c r="A53" s="4" t="s">
        <v>28</v>
      </c>
      <c r="B53" t="s">
        <v>32</v>
      </c>
      <c r="C53" s="1" t="s">
        <v>28</v>
      </c>
      <c r="D53" s="1" t="s">
        <v>16</v>
      </c>
    </row>
    <row r="54" spans="1:11" x14ac:dyDescent="0.3">
      <c r="C54" s="1" t="s">
        <v>5</v>
      </c>
      <c r="D54">
        <v>2</v>
      </c>
    </row>
    <row r="55" spans="1:11" x14ac:dyDescent="0.3">
      <c r="A55" s="4" t="s">
        <v>29</v>
      </c>
      <c r="B55" t="s">
        <v>35</v>
      </c>
      <c r="C55" s="9" t="s">
        <v>6</v>
      </c>
      <c r="D55" s="10">
        <v>6</v>
      </c>
    </row>
    <row r="56" spans="1:11" x14ac:dyDescent="0.3">
      <c r="A56" s="5">
        <v>1</v>
      </c>
      <c r="B56" s="2">
        <v>0.17660000000000001</v>
      </c>
      <c r="C56" s="1" t="s">
        <v>7</v>
      </c>
      <c r="D56">
        <v>5</v>
      </c>
    </row>
    <row r="57" spans="1:11" x14ac:dyDescent="0.3">
      <c r="A57" s="5">
        <v>2</v>
      </c>
      <c r="B57" s="2">
        <v>0.23480000000000001</v>
      </c>
      <c r="C57" s="1" t="s">
        <v>8</v>
      </c>
      <c r="D57">
        <v>4</v>
      </c>
    </row>
    <row r="58" spans="1:11" x14ac:dyDescent="0.3">
      <c r="A58" s="5">
        <v>3</v>
      </c>
      <c r="B58" s="2">
        <v>0.31509999999999999</v>
      </c>
      <c r="C58" s="1" t="s">
        <v>9</v>
      </c>
      <c r="D58">
        <v>3</v>
      </c>
    </row>
    <row r="59" spans="1:11" x14ac:dyDescent="0.3">
      <c r="A59" s="5">
        <v>4</v>
      </c>
      <c r="B59" s="2">
        <v>0.3211</v>
      </c>
      <c r="C59" s="1" t="s">
        <v>10</v>
      </c>
      <c r="D59">
        <v>1</v>
      </c>
    </row>
    <row r="60" spans="1:11" x14ac:dyDescent="0.3">
      <c r="A60" s="5">
        <v>5</v>
      </c>
      <c r="B60" s="2">
        <v>0.34460000000000002</v>
      </c>
    </row>
    <row r="61" spans="1:11" x14ac:dyDescent="0.3">
      <c r="A61" s="5">
        <v>6</v>
      </c>
      <c r="B61" s="2">
        <v>0.44640000000000002</v>
      </c>
    </row>
    <row r="62" spans="1:11" x14ac:dyDescent="0.3">
      <c r="A62" s="5" t="s">
        <v>30</v>
      </c>
      <c r="B62" s="2">
        <v>1.8386</v>
      </c>
    </row>
    <row r="68" spans="1:11" x14ac:dyDescent="0.3">
      <c r="A68" s="39" t="s">
        <v>36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</row>
    <row r="69" spans="1:11" x14ac:dyDescent="0.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</row>
    <row r="70" spans="1:11" x14ac:dyDescent="0.3">
      <c r="A70" s="4" t="s">
        <v>28</v>
      </c>
      <c r="B70" t="s">
        <v>32</v>
      </c>
      <c r="C70" s="1" t="s">
        <v>28</v>
      </c>
      <c r="D70" s="1" t="s">
        <v>16</v>
      </c>
    </row>
    <row r="71" spans="1:11" x14ac:dyDescent="0.3">
      <c r="C71" s="1" t="s">
        <v>5</v>
      </c>
      <c r="D71">
        <v>1</v>
      </c>
    </row>
    <row r="72" spans="1:11" x14ac:dyDescent="0.3">
      <c r="A72" s="4" t="s">
        <v>29</v>
      </c>
      <c r="B72" t="s">
        <v>37</v>
      </c>
      <c r="C72" s="11" t="s">
        <v>6</v>
      </c>
      <c r="D72">
        <v>4</v>
      </c>
    </row>
    <row r="73" spans="1:11" x14ac:dyDescent="0.3">
      <c r="A73" s="5">
        <v>1</v>
      </c>
      <c r="B73" s="2">
        <v>7.2300000000000003E-2</v>
      </c>
      <c r="C73" s="9" t="s">
        <v>7</v>
      </c>
      <c r="D73" s="10">
        <v>6</v>
      </c>
    </row>
    <row r="74" spans="1:11" x14ac:dyDescent="0.3">
      <c r="A74" s="5">
        <v>2</v>
      </c>
      <c r="B74" s="2">
        <v>8.0699999999999994E-2</v>
      </c>
      <c r="C74" s="1" t="s">
        <v>8</v>
      </c>
      <c r="D74">
        <v>5</v>
      </c>
    </row>
    <row r="75" spans="1:11" x14ac:dyDescent="0.3">
      <c r="A75" s="5">
        <v>3</v>
      </c>
      <c r="B75" s="2">
        <v>0.22159999999999999</v>
      </c>
      <c r="C75" s="1" t="s">
        <v>9</v>
      </c>
      <c r="D75">
        <v>3</v>
      </c>
    </row>
    <row r="76" spans="1:11" x14ac:dyDescent="0.3">
      <c r="A76" s="5">
        <v>4</v>
      </c>
      <c r="B76" s="2">
        <v>0.2354</v>
      </c>
      <c r="C76" s="1" t="s">
        <v>10</v>
      </c>
      <c r="D76">
        <v>2</v>
      </c>
    </row>
    <row r="77" spans="1:11" x14ac:dyDescent="0.3">
      <c r="A77" s="5">
        <v>5</v>
      </c>
      <c r="B77" s="2">
        <v>0.32479999999999998</v>
      </c>
    </row>
    <row r="78" spans="1:11" x14ac:dyDescent="0.3">
      <c r="A78" s="5">
        <v>6</v>
      </c>
      <c r="B78" s="2">
        <v>0.32490000000000002</v>
      </c>
    </row>
    <row r="79" spans="1:11" x14ac:dyDescent="0.3">
      <c r="A79" s="5" t="s">
        <v>30</v>
      </c>
      <c r="B79" s="2">
        <v>1.2597</v>
      </c>
    </row>
    <row r="85" spans="1:11" x14ac:dyDescent="0.3">
      <c r="A85" s="39" t="s">
        <v>38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</row>
    <row r="86" spans="1:11" x14ac:dyDescent="0.3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</row>
    <row r="87" spans="1:11" x14ac:dyDescent="0.3">
      <c r="A87" s="4" t="s">
        <v>28</v>
      </c>
      <c r="B87" t="s">
        <v>32</v>
      </c>
      <c r="C87" s="1" t="s">
        <v>28</v>
      </c>
      <c r="D87" s="1" t="s">
        <v>16</v>
      </c>
    </row>
    <row r="88" spans="1:11" x14ac:dyDescent="0.3">
      <c r="C88" s="1" t="s">
        <v>5</v>
      </c>
      <c r="D88">
        <v>2</v>
      </c>
    </row>
    <row r="89" spans="1:11" x14ac:dyDescent="0.3">
      <c r="A89" s="4" t="s">
        <v>29</v>
      </c>
      <c r="B89" t="s">
        <v>39</v>
      </c>
      <c r="C89" s="11" t="s">
        <v>6</v>
      </c>
      <c r="D89">
        <v>1</v>
      </c>
    </row>
    <row r="90" spans="1:11" x14ac:dyDescent="0.3">
      <c r="A90" s="5">
        <v>1</v>
      </c>
      <c r="B90">
        <v>78.63</v>
      </c>
      <c r="C90" s="9" t="s">
        <v>7</v>
      </c>
      <c r="D90" s="10">
        <v>6</v>
      </c>
    </row>
    <row r="91" spans="1:11" x14ac:dyDescent="0.3">
      <c r="A91" s="5">
        <v>2</v>
      </c>
      <c r="B91">
        <v>66.05</v>
      </c>
      <c r="C91" s="1" t="s">
        <v>8</v>
      </c>
      <c r="D91">
        <v>5</v>
      </c>
    </row>
    <row r="92" spans="1:11" x14ac:dyDescent="0.3">
      <c r="A92" s="5">
        <v>3</v>
      </c>
      <c r="B92">
        <v>66.75</v>
      </c>
      <c r="C92" s="1" t="s">
        <v>9</v>
      </c>
      <c r="D92">
        <v>4</v>
      </c>
    </row>
    <row r="93" spans="1:11" x14ac:dyDescent="0.3">
      <c r="A93" s="5">
        <v>4</v>
      </c>
      <c r="B93">
        <v>58.67</v>
      </c>
      <c r="C93" s="1" t="s">
        <v>10</v>
      </c>
      <c r="D93">
        <v>3</v>
      </c>
    </row>
    <row r="94" spans="1:11" x14ac:dyDescent="0.3">
      <c r="A94" s="5">
        <v>5</v>
      </c>
      <c r="B94">
        <v>51.3</v>
      </c>
    </row>
    <row r="95" spans="1:11" x14ac:dyDescent="0.3">
      <c r="A95" s="5">
        <v>6</v>
      </c>
      <c r="B95">
        <v>29.36</v>
      </c>
    </row>
    <row r="96" spans="1:11" x14ac:dyDescent="0.3">
      <c r="A96" s="5" t="s">
        <v>30</v>
      </c>
      <c r="B96">
        <v>350.76000000000005</v>
      </c>
    </row>
  </sheetData>
  <mergeCells count="6">
    <mergeCell ref="A85:K86"/>
    <mergeCell ref="A1:K2"/>
    <mergeCell ref="A17:K18"/>
    <mergeCell ref="A34:K35"/>
    <mergeCell ref="A51:K52"/>
    <mergeCell ref="A68:K69"/>
  </mergeCells>
  <pageMargins left="0.7" right="0.7" top="0.75" bottom="0.75" header="0.3" footer="0.3"/>
  <headerFooter>
    <oddFooter>&amp;C_x000D_&amp;1#&amp;"Arial"&amp;10&amp;K000000 Internal</oddFooter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4DEF-E09C-B941-B312-3124DC81375C}">
  <dimension ref="A1:F36"/>
  <sheetViews>
    <sheetView topLeftCell="A26" workbookViewId="0">
      <selection activeCell="E8" sqref="E8"/>
    </sheetView>
  </sheetViews>
  <sheetFormatPr defaultColWidth="11.19921875" defaultRowHeight="15.6" x14ac:dyDescent="0.3"/>
  <cols>
    <col min="1" max="1" width="26.5" customWidth="1"/>
    <col min="2" max="2" width="21" customWidth="1"/>
    <col min="3" max="3" width="20.69921875" customWidth="1"/>
    <col min="4" max="4" width="38.69921875" customWidth="1"/>
  </cols>
  <sheetData>
    <row r="1" spans="1:6" x14ac:dyDescent="0.3">
      <c r="A1" s="41" t="s">
        <v>102</v>
      </c>
      <c r="B1" s="41"/>
      <c r="C1" s="41"/>
      <c r="D1" s="41"/>
      <c r="E1" s="41"/>
      <c r="F1" s="41"/>
    </row>
    <row r="2" spans="1:6" x14ac:dyDescent="0.3">
      <c r="A2" s="25" t="s">
        <v>42</v>
      </c>
      <c r="B2" s="25" t="s">
        <v>43</v>
      </c>
      <c r="C2" s="25" t="s">
        <v>44</v>
      </c>
      <c r="D2" s="25" t="s">
        <v>45</v>
      </c>
      <c r="E2" s="25" t="s">
        <v>46</v>
      </c>
      <c r="F2" s="25" t="s">
        <v>47</v>
      </c>
    </row>
    <row r="3" spans="1:6" x14ac:dyDescent="0.3">
      <c r="A3" s="25" t="s">
        <v>0</v>
      </c>
      <c r="B3" s="26" t="s">
        <v>120</v>
      </c>
      <c r="C3" s="31" t="s">
        <v>119</v>
      </c>
      <c r="D3" s="26" t="s">
        <v>118</v>
      </c>
      <c r="E3" s="26" t="s">
        <v>117</v>
      </c>
      <c r="F3" s="26" t="s">
        <v>121</v>
      </c>
    </row>
    <row r="4" spans="1:6" x14ac:dyDescent="0.3">
      <c r="A4" s="25" t="s">
        <v>4</v>
      </c>
      <c r="B4" s="26" t="s">
        <v>106</v>
      </c>
      <c r="C4" s="26" t="s">
        <v>107</v>
      </c>
      <c r="D4" s="26" t="s">
        <v>108</v>
      </c>
      <c r="E4" s="26" t="s">
        <v>109</v>
      </c>
      <c r="F4" s="26" t="s">
        <v>110</v>
      </c>
    </row>
    <row r="5" spans="1:6" x14ac:dyDescent="0.3">
      <c r="A5" s="25" t="s">
        <v>103</v>
      </c>
      <c r="B5" s="26" t="s">
        <v>111</v>
      </c>
      <c r="C5" s="26" t="s">
        <v>112</v>
      </c>
      <c r="D5" s="26" t="s">
        <v>113</v>
      </c>
      <c r="E5" s="26" t="s">
        <v>114</v>
      </c>
      <c r="F5" s="26" t="s">
        <v>115</v>
      </c>
    </row>
    <row r="6" spans="1:6" x14ac:dyDescent="0.3">
      <c r="A6" s="25" t="s">
        <v>104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116</v>
      </c>
    </row>
    <row r="7" spans="1:6" x14ac:dyDescent="0.3">
      <c r="A7" s="25" t="s">
        <v>105</v>
      </c>
      <c r="B7" s="31" t="s">
        <v>126</v>
      </c>
      <c r="C7" s="26" t="s">
        <v>125</v>
      </c>
      <c r="D7" s="26" t="s">
        <v>124</v>
      </c>
      <c r="E7" s="26" t="s">
        <v>123</v>
      </c>
      <c r="F7" s="31" t="s">
        <v>122</v>
      </c>
    </row>
    <row r="10" spans="1:6" ht="18" x14ac:dyDescent="0.35">
      <c r="A10" s="46" t="s">
        <v>135</v>
      </c>
      <c r="B10" s="46"/>
      <c r="C10" s="46"/>
      <c r="D10" s="46"/>
    </row>
    <row r="11" spans="1:6" x14ac:dyDescent="0.3">
      <c r="A11" s="20" t="s">
        <v>70</v>
      </c>
      <c r="B11" s="20" t="s">
        <v>71</v>
      </c>
      <c r="C11" s="20" t="s">
        <v>72</v>
      </c>
      <c r="D11" s="20" t="s">
        <v>73</v>
      </c>
    </row>
    <row r="12" spans="1:6" x14ac:dyDescent="0.3">
      <c r="A12" s="21" t="s">
        <v>47</v>
      </c>
      <c r="B12" s="22" t="s">
        <v>74</v>
      </c>
      <c r="C12" s="22" t="s">
        <v>75</v>
      </c>
      <c r="D12" s="22" t="s">
        <v>76</v>
      </c>
    </row>
    <row r="13" spans="1:6" x14ac:dyDescent="0.3">
      <c r="A13" s="21" t="s">
        <v>46</v>
      </c>
      <c r="B13" s="22" t="s">
        <v>77</v>
      </c>
      <c r="C13" s="22" t="s">
        <v>78</v>
      </c>
      <c r="D13" s="22" t="s">
        <v>79</v>
      </c>
    </row>
    <row r="14" spans="1:6" x14ac:dyDescent="0.3">
      <c r="A14" s="21" t="s">
        <v>45</v>
      </c>
      <c r="B14" s="22" t="s">
        <v>80</v>
      </c>
      <c r="C14" s="22" t="s">
        <v>81</v>
      </c>
      <c r="D14" s="22" t="s">
        <v>82</v>
      </c>
    </row>
    <row r="15" spans="1:6" x14ac:dyDescent="0.3">
      <c r="A15" s="21" t="s">
        <v>44</v>
      </c>
      <c r="B15" s="22" t="s">
        <v>83</v>
      </c>
      <c r="C15" s="22" t="s">
        <v>84</v>
      </c>
      <c r="D15" s="22" t="s">
        <v>85</v>
      </c>
    </row>
    <row r="16" spans="1:6" x14ac:dyDescent="0.3">
      <c r="A16" s="21" t="s">
        <v>43</v>
      </c>
      <c r="B16" s="22" t="s">
        <v>86</v>
      </c>
      <c r="C16" s="22" t="s">
        <v>87</v>
      </c>
      <c r="D16" s="22" t="s">
        <v>88</v>
      </c>
    </row>
    <row r="20" spans="1:6" ht="18" x14ac:dyDescent="0.35">
      <c r="A20" s="43" t="s">
        <v>89</v>
      </c>
      <c r="B20" s="44"/>
      <c r="C20" s="44"/>
      <c r="D20" s="45"/>
    </row>
    <row r="21" spans="1:6" x14ac:dyDescent="0.3">
      <c r="A21" s="23" t="s">
        <v>70</v>
      </c>
      <c r="B21" s="23" t="s">
        <v>90</v>
      </c>
      <c r="C21" s="23" t="s">
        <v>72</v>
      </c>
      <c r="D21" s="23" t="s">
        <v>73</v>
      </c>
    </row>
    <row r="22" spans="1:6" x14ac:dyDescent="0.3">
      <c r="A22" s="23" t="s">
        <v>47</v>
      </c>
      <c r="B22" s="24" t="s">
        <v>91</v>
      </c>
      <c r="C22" s="24" t="s">
        <v>75</v>
      </c>
      <c r="D22" s="24" t="s">
        <v>92</v>
      </c>
    </row>
    <row r="23" spans="1:6" x14ac:dyDescent="0.3">
      <c r="A23" s="23" t="s">
        <v>46</v>
      </c>
      <c r="B23" s="24" t="s">
        <v>93</v>
      </c>
      <c r="C23" s="24" t="s">
        <v>78</v>
      </c>
      <c r="D23" s="24" t="s">
        <v>94</v>
      </c>
    </row>
    <row r="24" spans="1:6" x14ac:dyDescent="0.3">
      <c r="A24" s="23" t="s">
        <v>45</v>
      </c>
      <c r="B24" s="24" t="s">
        <v>95</v>
      </c>
      <c r="C24" s="24" t="s">
        <v>81</v>
      </c>
      <c r="D24" s="24" t="s">
        <v>96</v>
      </c>
    </row>
    <row r="25" spans="1:6" x14ac:dyDescent="0.3">
      <c r="A25" s="23" t="s">
        <v>44</v>
      </c>
      <c r="B25" s="24" t="s">
        <v>97</v>
      </c>
      <c r="C25" s="24" t="s">
        <v>84</v>
      </c>
      <c r="D25" s="24" t="s">
        <v>98</v>
      </c>
    </row>
    <row r="26" spans="1:6" x14ac:dyDescent="0.3">
      <c r="A26" s="23" t="s">
        <v>43</v>
      </c>
      <c r="B26" s="24" t="s">
        <v>99</v>
      </c>
      <c r="C26" s="24" t="s">
        <v>87</v>
      </c>
      <c r="D26" s="24" t="s">
        <v>100</v>
      </c>
    </row>
    <row r="29" spans="1:6" x14ac:dyDescent="0.3">
      <c r="A29" s="42" t="s">
        <v>133</v>
      </c>
      <c r="B29" s="42"/>
      <c r="C29" s="42"/>
      <c r="D29" s="42"/>
      <c r="E29" s="42"/>
      <c r="F29" s="42"/>
    </row>
    <row r="30" spans="1:6" x14ac:dyDescent="0.3">
      <c r="A30" s="23" t="s">
        <v>127</v>
      </c>
      <c r="B30" s="23" t="s">
        <v>128</v>
      </c>
      <c r="C30" s="23" t="s">
        <v>129</v>
      </c>
      <c r="D30" s="23" t="s">
        <v>130</v>
      </c>
      <c r="E30" s="23" t="s">
        <v>131</v>
      </c>
      <c r="F30" s="23" t="s">
        <v>132</v>
      </c>
    </row>
    <row r="31" spans="1:6" x14ac:dyDescent="0.3">
      <c r="A31" s="23" t="s">
        <v>5</v>
      </c>
      <c r="B31" s="24" t="s">
        <v>46</v>
      </c>
      <c r="C31" s="24" t="s">
        <v>46</v>
      </c>
      <c r="D31" s="24" t="s">
        <v>47</v>
      </c>
      <c r="E31" s="24" t="s">
        <v>45</v>
      </c>
      <c r="F31" s="24" t="s">
        <v>45</v>
      </c>
    </row>
    <row r="32" spans="1:6" x14ac:dyDescent="0.3">
      <c r="A32" s="23" t="s">
        <v>6</v>
      </c>
      <c r="B32" s="24" t="s">
        <v>47</v>
      </c>
      <c r="C32" s="24" t="s">
        <v>47</v>
      </c>
      <c r="D32" s="24" t="s">
        <v>47</v>
      </c>
      <c r="E32" s="24" t="s">
        <v>47</v>
      </c>
      <c r="F32" s="24" t="s">
        <v>44</v>
      </c>
    </row>
    <row r="33" spans="1:6" x14ac:dyDescent="0.3">
      <c r="A33" s="23" t="s">
        <v>7</v>
      </c>
      <c r="B33" s="24" t="s">
        <v>44</v>
      </c>
      <c r="C33" s="24" t="s">
        <v>47</v>
      </c>
      <c r="D33" s="24" t="s">
        <v>47</v>
      </c>
      <c r="E33" s="24" t="s">
        <v>47</v>
      </c>
      <c r="F33" s="24" t="s">
        <v>47</v>
      </c>
    </row>
    <row r="34" spans="1:6" x14ac:dyDescent="0.3">
      <c r="A34" s="23" t="s">
        <v>8</v>
      </c>
      <c r="B34" s="24" t="s">
        <v>47</v>
      </c>
      <c r="C34" s="24" t="s">
        <v>47</v>
      </c>
      <c r="D34" s="24" t="s">
        <v>47</v>
      </c>
      <c r="E34" s="24" t="s">
        <v>47</v>
      </c>
      <c r="F34" s="24" t="s">
        <v>47</v>
      </c>
    </row>
    <row r="35" spans="1:6" x14ac:dyDescent="0.3">
      <c r="A35" s="23" t="s">
        <v>9</v>
      </c>
      <c r="B35" s="24" t="s">
        <v>45</v>
      </c>
      <c r="C35" s="24" t="s">
        <v>47</v>
      </c>
      <c r="D35" s="24" t="s">
        <v>47</v>
      </c>
      <c r="E35" s="24" t="s">
        <v>47</v>
      </c>
      <c r="F35" s="24" t="s">
        <v>46</v>
      </c>
    </row>
    <row r="36" spans="1:6" x14ac:dyDescent="0.3">
      <c r="A36" s="23" t="s">
        <v>10</v>
      </c>
      <c r="B36" s="24" t="s">
        <v>44</v>
      </c>
      <c r="C36" s="24" t="s">
        <v>46</v>
      </c>
      <c r="D36" s="24" t="s">
        <v>47</v>
      </c>
      <c r="E36" s="24" t="s">
        <v>45</v>
      </c>
      <c r="F36" s="24" t="s">
        <v>44</v>
      </c>
    </row>
  </sheetData>
  <mergeCells count="4">
    <mergeCell ref="A1:F1"/>
    <mergeCell ref="A29:F29"/>
    <mergeCell ref="A20:D20"/>
    <mergeCell ref="A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5BDA-3AC5-AE4E-B883-DF4B5BD589C6}">
  <dimension ref="A1:V68"/>
  <sheetViews>
    <sheetView zoomScale="70" zoomScaleNormal="45" workbookViewId="0">
      <selection activeCell="I65" sqref="I65"/>
    </sheetView>
  </sheetViews>
  <sheetFormatPr defaultColWidth="10.69921875" defaultRowHeight="15.6" x14ac:dyDescent="0.3"/>
  <cols>
    <col min="1" max="1" width="25.296875" customWidth="1"/>
    <col min="2" max="2" width="21.69921875" customWidth="1"/>
    <col min="3" max="3" width="15.19921875" customWidth="1"/>
    <col min="4" max="4" width="20.5" customWidth="1"/>
    <col min="6" max="6" width="22.796875" customWidth="1"/>
    <col min="8" max="8" width="21.296875" customWidth="1"/>
    <col min="10" max="10" width="17.19921875" customWidth="1"/>
    <col min="12" max="12" width="24.69921875" customWidth="1"/>
    <col min="14" max="14" width="15.796875" customWidth="1"/>
    <col min="16" max="16" width="23.5" customWidth="1"/>
    <col min="18" max="18" width="22.69921875" customWidth="1"/>
    <col min="20" max="20" width="20.296875" customWidth="1"/>
  </cols>
  <sheetData>
    <row r="1" spans="1:22" x14ac:dyDescent="0.3">
      <c r="A1" s="24"/>
      <c r="B1" s="42" t="s">
        <v>23</v>
      </c>
      <c r="C1" s="42"/>
      <c r="D1" s="42"/>
      <c r="E1" s="24"/>
      <c r="F1" s="42" t="s">
        <v>24</v>
      </c>
      <c r="G1" s="47"/>
      <c r="H1" s="47"/>
      <c r="I1" s="24"/>
      <c r="J1" s="42" t="s">
        <v>25</v>
      </c>
      <c r="K1" s="47"/>
      <c r="L1" s="47"/>
      <c r="M1" s="24"/>
      <c r="N1" s="42" t="s">
        <v>26</v>
      </c>
      <c r="O1" s="47"/>
      <c r="P1" s="47"/>
      <c r="Q1" s="24"/>
      <c r="R1" s="42" t="s">
        <v>27</v>
      </c>
      <c r="S1" s="42"/>
      <c r="T1" s="42"/>
      <c r="U1" s="24"/>
      <c r="V1" s="24"/>
    </row>
    <row r="2" spans="1:22" s="1" customFormat="1" x14ac:dyDescent="0.3">
      <c r="A2" s="23" t="s">
        <v>28</v>
      </c>
      <c r="B2" s="23" t="s">
        <v>0</v>
      </c>
      <c r="C2" s="23" t="s">
        <v>16</v>
      </c>
      <c r="D2" s="23" t="s">
        <v>19</v>
      </c>
      <c r="E2" s="23" t="s">
        <v>28</v>
      </c>
      <c r="F2" s="23" t="s">
        <v>4</v>
      </c>
      <c r="G2" s="23" t="s">
        <v>16</v>
      </c>
      <c r="H2" s="23" t="s">
        <v>20</v>
      </c>
      <c r="I2" s="23"/>
      <c r="J2" s="23" t="s">
        <v>1</v>
      </c>
      <c r="K2" s="23" t="s">
        <v>16</v>
      </c>
      <c r="L2" s="23" t="s">
        <v>20</v>
      </c>
      <c r="M2" s="23"/>
      <c r="N2" s="23" t="s">
        <v>2</v>
      </c>
      <c r="O2" s="23" t="s">
        <v>16</v>
      </c>
      <c r="P2" s="23" t="s">
        <v>19</v>
      </c>
      <c r="Q2" s="23"/>
      <c r="R2" s="23" t="s">
        <v>3</v>
      </c>
      <c r="S2" s="23" t="s">
        <v>16</v>
      </c>
      <c r="T2" s="23" t="s">
        <v>21</v>
      </c>
      <c r="U2" s="23"/>
      <c r="V2" s="23" t="s">
        <v>22</v>
      </c>
    </row>
    <row r="3" spans="1:22" x14ac:dyDescent="0.3">
      <c r="A3" s="23" t="s">
        <v>5</v>
      </c>
      <c r="B3" s="24">
        <v>0.72160000000000002</v>
      </c>
      <c r="C3" s="24">
        <v>4</v>
      </c>
      <c r="D3" s="24">
        <v>1</v>
      </c>
      <c r="E3" s="23" t="s">
        <v>5</v>
      </c>
      <c r="F3" s="24">
        <v>4.3099999999999996</v>
      </c>
      <c r="G3" s="24">
        <v>1</v>
      </c>
      <c r="H3" s="24">
        <f>0.2*1</f>
        <v>0.2</v>
      </c>
      <c r="I3" s="23"/>
      <c r="J3" s="32">
        <v>0.23480000000000001</v>
      </c>
      <c r="K3" s="24">
        <v>2</v>
      </c>
      <c r="L3" s="24">
        <v>0.4</v>
      </c>
      <c r="M3" s="23"/>
      <c r="N3" s="32">
        <v>7.2300000000000003E-2</v>
      </c>
      <c r="O3" s="24">
        <v>1</v>
      </c>
      <c r="P3" s="24">
        <f>0.25*1</f>
        <v>0.25</v>
      </c>
      <c r="Q3" s="23"/>
      <c r="R3" s="24">
        <v>66.05</v>
      </c>
      <c r="S3" s="24">
        <v>2</v>
      </c>
      <c r="T3" s="24">
        <f>0.1*2</f>
        <v>0.2</v>
      </c>
      <c r="U3" s="23"/>
      <c r="V3" s="24">
        <f>SUM(D3,H3,L3,P3,T3)</f>
        <v>2.0500000000000003</v>
      </c>
    </row>
    <row r="4" spans="1:22" x14ac:dyDescent="0.3">
      <c r="A4" s="23" t="s">
        <v>6</v>
      </c>
      <c r="B4" s="24">
        <v>0.25</v>
      </c>
      <c r="C4" s="24">
        <v>5</v>
      </c>
      <c r="D4" s="24">
        <f>0.25 * 5</f>
        <v>1.25</v>
      </c>
      <c r="E4" s="23" t="s">
        <v>6</v>
      </c>
      <c r="F4" s="24">
        <v>37.29</v>
      </c>
      <c r="G4" s="24">
        <v>4</v>
      </c>
      <c r="H4" s="24">
        <f>0.2*4</f>
        <v>0.8</v>
      </c>
      <c r="I4" s="23"/>
      <c r="J4" s="33">
        <v>0.44640000000000002</v>
      </c>
      <c r="K4" s="34">
        <v>6</v>
      </c>
      <c r="L4" s="24">
        <v>1.2</v>
      </c>
      <c r="M4" s="23"/>
      <c r="N4" s="32">
        <v>0.2354</v>
      </c>
      <c r="O4" s="24">
        <v>4</v>
      </c>
      <c r="P4" s="24">
        <f>0.25*4</f>
        <v>1</v>
      </c>
      <c r="Q4" s="23"/>
      <c r="R4" s="24">
        <v>78.63</v>
      </c>
      <c r="S4" s="24">
        <v>1</v>
      </c>
      <c r="T4" s="24">
        <f>0.1*1</f>
        <v>0.1</v>
      </c>
      <c r="U4" s="23"/>
      <c r="V4" s="24">
        <f t="shared" ref="V4:V8" si="0">SUM(D4,H4,L4,P4,T4)</f>
        <v>4.3499999999999996</v>
      </c>
    </row>
    <row r="5" spans="1:22" x14ac:dyDescent="0.3">
      <c r="A5" s="23" t="s">
        <v>7</v>
      </c>
      <c r="B5" s="24">
        <v>1.87</v>
      </c>
      <c r="C5" s="24">
        <v>1</v>
      </c>
      <c r="D5" s="24">
        <v>0.25</v>
      </c>
      <c r="E5" s="23" t="s">
        <v>7</v>
      </c>
      <c r="F5" s="34">
        <f>1E+99</f>
        <v>9.9999999999999997E+98</v>
      </c>
      <c r="G5" s="34">
        <v>6</v>
      </c>
      <c r="H5" s="24">
        <f>0.2*6</f>
        <v>1.2000000000000002</v>
      </c>
      <c r="I5" s="23"/>
      <c r="J5" s="32">
        <v>0.34460000000000002</v>
      </c>
      <c r="K5" s="24">
        <v>5</v>
      </c>
      <c r="L5" s="24">
        <v>1</v>
      </c>
      <c r="M5" s="23"/>
      <c r="N5" s="33">
        <v>0.32490000000000002</v>
      </c>
      <c r="O5" s="34">
        <v>6</v>
      </c>
      <c r="P5" s="24">
        <f>0.25*6</f>
        <v>1.5</v>
      </c>
      <c r="Q5" s="23"/>
      <c r="R5" s="34">
        <v>29.36</v>
      </c>
      <c r="S5" s="34">
        <v>6</v>
      </c>
      <c r="T5" s="24">
        <f>0.1*6</f>
        <v>0.60000000000000009</v>
      </c>
      <c r="U5" s="23"/>
      <c r="V5" s="24">
        <f t="shared" si="0"/>
        <v>4.5500000000000007</v>
      </c>
    </row>
    <row r="6" spans="1:22" x14ac:dyDescent="0.3">
      <c r="A6" s="35" t="s">
        <v>8</v>
      </c>
      <c r="B6" s="34">
        <v>0.08</v>
      </c>
      <c r="C6" s="34">
        <v>6</v>
      </c>
      <c r="D6" s="24">
        <f>6*0.25</f>
        <v>1.5</v>
      </c>
      <c r="E6" s="23" t="s">
        <v>8</v>
      </c>
      <c r="F6" s="24">
        <v>419.37</v>
      </c>
      <c r="G6" s="24">
        <v>5</v>
      </c>
      <c r="H6" s="24">
        <f>0.2*5</f>
        <v>1</v>
      </c>
      <c r="I6" s="23"/>
      <c r="J6" s="32">
        <v>0.3211</v>
      </c>
      <c r="K6" s="24">
        <v>4</v>
      </c>
      <c r="L6" s="24">
        <v>0.8</v>
      </c>
      <c r="M6" s="23"/>
      <c r="N6" s="32">
        <v>0.32479999999999998</v>
      </c>
      <c r="O6" s="24">
        <v>5</v>
      </c>
      <c r="P6" s="24">
        <f>0.25*5</f>
        <v>1.25</v>
      </c>
      <c r="Q6" s="23"/>
      <c r="R6" s="24">
        <v>51.3</v>
      </c>
      <c r="S6" s="24">
        <v>5</v>
      </c>
      <c r="T6" s="24">
        <f>0.1*5</f>
        <v>0.5</v>
      </c>
      <c r="U6" s="23"/>
      <c r="V6" s="24">
        <f t="shared" si="0"/>
        <v>5.05</v>
      </c>
    </row>
    <row r="7" spans="1:22" x14ac:dyDescent="0.3">
      <c r="A7" s="23" t="s">
        <v>9</v>
      </c>
      <c r="B7" s="24">
        <v>0.8</v>
      </c>
      <c r="C7" s="24">
        <v>3</v>
      </c>
      <c r="D7" s="24">
        <v>0.75</v>
      </c>
      <c r="E7" s="23" t="s">
        <v>9</v>
      </c>
      <c r="F7" s="24">
        <v>15.91</v>
      </c>
      <c r="G7" s="24">
        <v>3</v>
      </c>
      <c r="H7" s="24">
        <f>0.2*3</f>
        <v>0.60000000000000009</v>
      </c>
      <c r="I7" s="23"/>
      <c r="J7" s="32">
        <v>0.31509999999999999</v>
      </c>
      <c r="K7" s="24">
        <v>3</v>
      </c>
      <c r="L7" s="24">
        <v>0.6</v>
      </c>
      <c r="M7" s="23"/>
      <c r="N7" s="32">
        <v>0.22159999999999999</v>
      </c>
      <c r="O7" s="24">
        <v>3</v>
      </c>
      <c r="P7" s="24">
        <f>0.25*3</f>
        <v>0.75</v>
      </c>
      <c r="Q7" s="23"/>
      <c r="R7" s="24">
        <v>58.67</v>
      </c>
      <c r="S7" s="24">
        <v>4</v>
      </c>
      <c r="T7" s="24">
        <f>0.1*4</f>
        <v>0.4</v>
      </c>
      <c r="U7" s="23"/>
      <c r="V7" s="24">
        <f t="shared" si="0"/>
        <v>3.1</v>
      </c>
    </row>
    <row r="8" spans="1:22" x14ac:dyDescent="0.3">
      <c r="A8" s="23" t="s">
        <v>10</v>
      </c>
      <c r="B8" s="24">
        <v>1.1200000000000001</v>
      </c>
      <c r="C8" s="24">
        <v>2</v>
      </c>
      <c r="D8" s="24">
        <v>0.5</v>
      </c>
      <c r="E8" s="23" t="s">
        <v>10</v>
      </c>
      <c r="F8" s="24">
        <v>8.66</v>
      </c>
      <c r="G8" s="24">
        <v>2</v>
      </c>
      <c r="H8" s="24">
        <f>0.2*2</f>
        <v>0.4</v>
      </c>
      <c r="I8" s="23"/>
      <c r="J8" s="32">
        <v>0.17660000000000001</v>
      </c>
      <c r="K8" s="24">
        <v>1</v>
      </c>
      <c r="L8" s="24">
        <v>0.2</v>
      </c>
      <c r="M8" s="23"/>
      <c r="N8" s="32">
        <v>8.0699999999999994E-2</v>
      </c>
      <c r="O8" s="24">
        <v>2</v>
      </c>
      <c r="P8" s="24">
        <f>0.25*2</f>
        <v>0.5</v>
      </c>
      <c r="Q8" s="23"/>
      <c r="R8" s="24">
        <v>66.75</v>
      </c>
      <c r="S8" s="24">
        <v>3</v>
      </c>
      <c r="T8" s="24">
        <f>0.1*3</f>
        <v>0.30000000000000004</v>
      </c>
      <c r="U8" s="23"/>
      <c r="V8" s="24">
        <f t="shared" si="0"/>
        <v>1.9000000000000001</v>
      </c>
    </row>
    <row r="9" spans="1:22" x14ac:dyDescent="0.3">
      <c r="A9" s="36" t="s">
        <v>67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2" spans="1:22" x14ac:dyDescent="0.3">
      <c r="A12" s="42" t="s">
        <v>134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3">
      <c r="A13" s="23" t="s">
        <v>15</v>
      </c>
      <c r="B13" s="24">
        <f>MIN(B3:B8)</f>
        <v>0.08</v>
      </c>
      <c r="C13" s="24"/>
      <c r="D13" s="24"/>
      <c r="E13" s="24"/>
      <c r="F13" s="24">
        <f t="shared" ref="F13" si="1">MIN(F3:F8)</f>
        <v>4.3099999999999996</v>
      </c>
      <c r="G13" s="24"/>
      <c r="H13" s="24"/>
      <c r="I13" s="24"/>
      <c r="J13" s="32">
        <f>MIN(J3:J8)</f>
        <v>0.17660000000000001</v>
      </c>
      <c r="K13" s="24"/>
      <c r="L13" s="32"/>
      <c r="M13" s="24"/>
      <c r="N13" s="32">
        <f>MIN(N3:N8)</f>
        <v>7.2300000000000003E-2</v>
      </c>
      <c r="O13" s="24"/>
      <c r="P13" s="24"/>
      <c r="Q13" s="24"/>
      <c r="R13" s="24">
        <f>MIN(R3:R8)</f>
        <v>29.36</v>
      </c>
      <c r="S13" s="24"/>
      <c r="T13" s="24"/>
      <c r="U13" s="24"/>
      <c r="V13" s="24"/>
    </row>
    <row r="14" spans="1:22" x14ac:dyDescent="0.3">
      <c r="A14" s="23" t="s">
        <v>11</v>
      </c>
      <c r="B14" s="24">
        <f>_xlfn.QUARTILE.INC(B3:B8,1)</f>
        <v>0.3679</v>
      </c>
      <c r="C14" s="24"/>
      <c r="D14" s="24"/>
      <c r="E14" s="24"/>
      <c r="F14" s="24">
        <f t="shared" ref="F14" si="2">_xlfn.QUARTILE.INC(F3:F8,1)</f>
        <v>10.4725</v>
      </c>
      <c r="G14" s="24"/>
      <c r="H14" s="24"/>
      <c r="I14" s="24"/>
      <c r="J14" s="32">
        <f>_xlfn.QUARTILE.INC(J3:J8,1)</f>
        <v>0.25487500000000002</v>
      </c>
      <c r="K14" s="24"/>
      <c r="L14" s="32"/>
      <c r="M14" s="24"/>
      <c r="N14" s="32">
        <f>_xlfn.QUARTILE.INC(N3:N8,1)</f>
        <v>0.115925</v>
      </c>
      <c r="O14" s="24"/>
      <c r="P14" s="24"/>
      <c r="Q14" s="24"/>
      <c r="R14" s="24">
        <f>_xlfn.QUARTILE.INC(R3:R8,1)</f>
        <v>53.142499999999998</v>
      </c>
      <c r="S14" s="24"/>
      <c r="T14" s="24"/>
      <c r="U14" s="24"/>
      <c r="V14" s="24"/>
    </row>
    <row r="15" spans="1:22" x14ac:dyDescent="0.3">
      <c r="A15" s="23" t="s">
        <v>12</v>
      </c>
      <c r="B15" s="24">
        <f>_xlfn.QUARTILE.INC(B3:B8,2)</f>
        <v>0.76080000000000003</v>
      </c>
      <c r="C15" s="24"/>
      <c r="D15" s="24"/>
      <c r="E15" s="24"/>
      <c r="F15" s="24">
        <f t="shared" ref="F15" si="3">_xlfn.QUARTILE.INC(F3:F8,2)</f>
        <v>26.6</v>
      </c>
      <c r="G15" s="24"/>
      <c r="H15" s="24"/>
      <c r="I15" s="24"/>
      <c r="J15" s="32">
        <f>_xlfn.QUARTILE.INC(J3:J8,2)</f>
        <v>0.31809999999999999</v>
      </c>
      <c r="K15" s="24"/>
      <c r="L15" s="32"/>
      <c r="M15" s="24"/>
      <c r="N15" s="32">
        <f>_xlfn.QUARTILE.INC(N3:N8,2)</f>
        <v>0.22849999999999998</v>
      </c>
      <c r="O15" s="24"/>
      <c r="P15" s="24"/>
      <c r="Q15" s="24"/>
      <c r="R15" s="24">
        <f>_xlfn.QUARTILE.INC(R3:R8,2)</f>
        <v>62.36</v>
      </c>
      <c r="S15" s="24"/>
      <c r="T15" s="24"/>
      <c r="U15" s="24"/>
      <c r="V15" s="24"/>
    </row>
    <row r="16" spans="1:22" x14ac:dyDescent="0.3">
      <c r="A16" s="23" t="s">
        <v>13</v>
      </c>
      <c r="B16" s="24">
        <f>_xlfn.QUARTILE.INC(B3:B8,3)</f>
        <v>1.04</v>
      </c>
      <c r="C16" s="24"/>
      <c r="D16" s="24"/>
      <c r="E16" s="24"/>
      <c r="F16" s="24">
        <f t="shared" ref="F16" si="4">_xlfn.QUARTILE.INC(F3:F8,3)</f>
        <v>323.85000000000002</v>
      </c>
      <c r="G16" s="24"/>
      <c r="H16" s="24"/>
      <c r="I16" s="24"/>
      <c r="J16" s="32">
        <f>_xlfn.QUARTILE.INC(J3:J8,3)</f>
        <v>0.338725</v>
      </c>
      <c r="K16" s="24"/>
      <c r="L16" s="32"/>
      <c r="M16" s="24"/>
      <c r="N16" s="32">
        <f>_xlfn.QUARTILE.INC(N3:N8,3)</f>
        <v>0.30245</v>
      </c>
      <c r="O16" s="24"/>
      <c r="P16" s="24"/>
      <c r="Q16" s="24"/>
      <c r="R16" s="24">
        <f>_xlfn.QUARTILE.INC(R3:R8,3)</f>
        <v>66.575000000000003</v>
      </c>
      <c r="S16" s="24"/>
      <c r="T16" s="24"/>
      <c r="U16" s="24"/>
      <c r="V16" s="24"/>
    </row>
    <row r="17" spans="1:22" x14ac:dyDescent="0.3">
      <c r="A17" s="23" t="s">
        <v>14</v>
      </c>
      <c r="B17" s="24">
        <f>_xlfn.QUARTILE.INC(B3:B8,4)</f>
        <v>1.87</v>
      </c>
      <c r="C17" s="24"/>
      <c r="D17" s="24"/>
      <c r="E17" s="24"/>
      <c r="F17" s="24">
        <f t="shared" ref="F17" si="5">_xlfn.QUARTILE.INC(F3:F8,4)</f>
        <v>9.9999999999999997E+98</v>
      </c>
      <c r="G17" s="24"/>
      <c r="H17" s="24"/>
      <c r="I17" s="24"/>
      <c r="J17" s="32">
        <f>_xlfn.QUARTILE.INC(J3:J8,4)</f>
        <v>0.44640000000000002</v>
      </c>
      <c r="K17" s="24"/>
      <c r="L17" s="32"/>
      <c r="M17" s="24"/>
      <c r="N17" s="32">
        <f>_xlfn.QUARTILE.INC(N3:N8,4)</f>
        <v>0.32490000000000002</v>
      </c>
      <c r="O17" s="24"/>
      <c r="P17" s="24"/>
      <c r="Q17" s="24"/>
      <c r="R17" s="24">
        <f>_xlfn.QUARTILE.INC(R3:R8,4)</f>
        <v>78.63</v>
      </c>
      <c r="S17" s="24"/>
      <c r="T17" s="24"/>
      <c r="U17" s="24"/>
      <c r="V17" s="24"/>
    </row>
    <row r="20" spans="1:22" x14ac:dyDescent="0.3">
      <c r="A20" s="1">
        <v>1</v>
      </c>
      <c r="B20" s="1" t="s">
        <v>17</v>
      </c>
    </row>
    <row r="21" spans="1:22" x14ac:dyDescent="0.3">
      <c r="A21" s="1">
        <v>6</v>
      </c>
      <c r="B21" s="1" t="s">
        <v>18</v>
      </c>
    </row>
    <row r="32" spans="1:22" ht="15.45" customHeight="1" x14ac:dyDescent="0.3"/>
    <row r="41" ht="15.45" customHeight="1" x14ac:dyDescent="0.3"/>
    <row r="50" ht="15.45" customHeight="1" x14ac:dyDescent="0.3"/>
    <row r="59" ht="15.45" customHeight="1" x14ac:dyDescent="0.3"/>
    <row r="68" ht="15.45" customHeight="1" x14ac:dyDescent="0.3"/>
  </sheetData>
  <mergeCells count="6">
    <mergeCell ref="A12:V12"/>
    <mergeCell ref="B1:D1"/>
    <mergeCell ref="F1:H1"/>
    <mergeCell ref="J1:L1"/>
    <mergeCell ref="N1:P1"/>
    <mergeCell ref="R1:T1"/>
  </mergeCells>
  <phoneticPr fontId="11" type="noConversion"/>
  <pageMargins left="0.7" right="0.7" top="0.75" bottom="0.75" header="0.3" footer="0.3"/>
  <headerFooter>
    <oddFooter>&amp;C_x000D_&amp;1#&amp;"Arial"&amp;10&amp;K000000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FF57-02BD-4ACD-9F31-85C16CCE2D6A}">
  <dimension ref="A3:B10"/>
  <sheetViews>
    <sheetView workbookViewId="0">
      <selection activeCell="J16" sqref="J16"/>
    </sheetView>
  </sheetViews>
  <sheetFormatPr defaultColWidth="8.796875" defaultRowHeight="15.6" x14ac:dyDescent="0.3"/>
  <cols>
    <col min="1" max="1" width="12.19921875" bestFit="1" customWidth="1"/>
    <col min="2" max="2" width="27.296875" bestFit="1" customWidth="1"/>
  </cols>
  <sheetData>
    <row r="3" spans="1:2" x14ac:dyDescent="0.3">
      <c r="A3" s="4" t="s">
        <v>29</v>
      </c>
      <c r="B3" t="s">
        <v>39</v>
      </c>
    </row>
    <row r="4" spans="1:2" x14ac:dyDescent="0.3">
      <c r="A4" s="5" t="s">
        <v>8</v>
      </c>
      <c r="B4">
        <v>51.3</v>
      </c>
    </row>
    <row r="5" spans="1:2" x14ac:dyDescent="0.3">
      <c r="A5" s="5" t="s">
        <v>7</v>
      </c>
      <c r="B5">
        <v>29.36</v>
      </c>
    </row>
    <row r="6" spans="1:2" x14ac:dyDescent="0.3">
      <c r="A6" s="5" t="s">
        <v>10</v>
      </c>
      <c r="B6">
        <v>66.75</v>
      </c>
    </row>
    <row r="7" spans="1:2" x14ac:dyDescent="0.3">
      <c r="A7" s="5" t="s">
        <v>9</v>
      </c>
      <c r="B7">
        <v>58.67</v>
      </c>
    </row>
    <row r="8" spans="1:2" x14ac:dyDescent="0.3">
      <c r="A8" s="5" t="s">
        <v>6</v>
      </c>
      <c r="B8">
        <v>78.63</v>
      </c>
    </row>
    <row r="9" spans="1:2" x14ac:dyDescent="0.3">
      <c r="A9" s="5" t="s">
        <v>5</v>
      </c>
      <c r="B9">
        <v>66.05</v>
      </c>
    </row>
    <row r="10" spans="1:2" x14ac:dyDescent="0.3">
      <c r="A10" s="5" t="s">
        <v>30</v>
      </c>
      <c r="B10">
        <v>350.76</v>
      </c>
    </row>
  </sheetData>
  <pageMargins left="0.7" right="0.7" top="0.75" bottom="0.75" header="0.3" footer="0.3"/>
  <headerFooter>
    <oddFooter>&amp;C_x000D_&amp;1#&amp;"Arial"&amp;10&amp;K000000 Internal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1693-C581-478A-A3DF-342A25E06853}">
  <dimension ref="A3:B10"/>
  <sheetViews>
    <sheetView workbookViewId="0">
      <selection activeCell="J5" sqref="J5"/>
    </sheetView>
  </sheetViews>
  <sheetFormatPr defaultColWidth="8.796875" defaultRowHeight="15.6" x14ac:dyDescent="0.3"/>
  <cols>
    <col min="1" max="1" width="12.19921875" bestFit="1" customWidth="1"/>
    <col min="2" max="2" width="22" bestFit="1" customWidth="1"/>
  </cols>
  <sheetData>
    <row r="3" spans="1:2" x14ac:dyDescent="0.3">
      <c r="A3" s="4" t="s">
        <v>29</v>
      </c>
      <c r="B3" t="s">
        <v>35</v>
      </c>
    </row>
    <row r="4" spans="1:2" x14ac:dyDescent="0.3">
      <c r="A4" s="5" t="s">
        <v>8</v>
      </c>
      <c r="B4" s="2">
        <v>0.3211</v>
      </c>
    </row>
    <row r="5" spans="1:2" x14ac:dyDescent="0.3">
      <c r="A5" s="5" t="s">
        <v>7</v>
      </c>
      <c r="B5" s="2">
        <v>0.34460000000000002</v>
      </c>
    </row>
    <row r="6" spans="1:2" x14ac:dyDescent="0.3">
      <c r="A6" s="5" t="s">
        <v>10</v>
      </c>
      <c r="B6" s="2">
        <v>0.17660000000000001</v>
      </c>
    </row>
    <row r="7" spans="1:2" x14ac:dyDescent="0.3">
      <c r="A7" s="5" t="s">
        <v>9</v>
      </c>
      <c r="B7" s="2">
        <v>0.31509999999999999</v>
      </c>
    </row>
    <row r="8" spans="1:2" x14ac:dyDescent="0.3">
      <c r="A8" s="5" t="s">
        <v>6</v>
      </c>
      <c r="B8" s="2">
        <v>0.44640000000000002</v>
      </c>
    </row>
    <row r="9" spans="1:2" x14ac:dyDescent="0.3">
      <c r="A9" s="5" t="s">
        <v>5</v>
      </c>
      <c r="B9" s="2">
        <v>0.23480000000000001</v>
      </c>
    </row>
    <row r="10" spans="1:2" x14ac:dyDescent="0.3">
      <c r="A10" s="5" t="s">
        <v>30</v>
      </c>
      <c r="B10" s="2">
        <v>1.8386</v>
      </c>
    </row>
  </sheetData>
  <pageMargins left="0.7" right="0.7" top="0.75" bottom="0.75" header="0.3" footer="0.3"/>
  <headerFooter>
    <oddFooter>&amp;C_x000D_&amp;1#&amp;"Arial"&amp;10&amp;K000000 Internal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53FA-8B4E-42C0-A4F2-BCCA69701A19}">
  <dimension ref="A3:B10"/>
  <sheetViews>
    <sheetView tabSelected="1" workbookViewId="0">
      <selection activeCell="M16" sqref="M16"/>
    </sheetView>
  </sheetViews>
  <sheetFormatPr defaultColWidth="8.796875" defaultRowHeight="15.6" x14ac:dyDescent="0.3"/>
  <cols>
    <col min="1" max="1" width="12.19921875" bestFit="1" customWidth="1"/>
    <col min="2" max="2" width="10" bestFit="1" customWidth="1"/>
  </cols>
  <sheetData>
    <row r="3" spans="1:2" x14ac:dyDescent="0.3">
      <c r="A3" s="4" t="s">
        <v>29</v>
      </c>
      <c r="B3" t="s">
        <v>37</v>
      </c>
    </row>
    <row r="4" spans="1:2" x14ac:dyDescent="0.3">
      <c r="A4" s="5" t="s">
        <v>8</v>
      </c>
      <c r="B4" s="2">
        <v>0.32479999999999998</v>
      </c>
    </row>
    <row r="5" spans="1:2" x14ac:dyDescent="0.3">
      <c r="A5" s="5" t="s">
        <v>7</v>
      </c>
      <c r="B5" s="2">
        <v>0.32490000000000002</v>
      </c>
    </row>
    <row r="6" spans="1:2" x14ac:dyDescent="0.3">
      <c r="A6" s="5" t="s">
        <v>10</v>
      </c>
      <c r="B6" s="2">
        <v>8.0699999999999994E-2</v>
      </c>
    </row>
    <row r="7" spans="1:2" x14ac:dyDescent="0.3">
      <c r="A7" s="5" t="s">
        <v>9</v>
      </c>
      <c r="B7" s="2">
        <v>0.22159999999999999</v>
      </c>
    </row>
    <row r="8" spans="1:2" x14ac:dyDescent="0.3">
      <c r="A8" s="5" t="s">
        <v>6</v>
      </c>
      <c r="B8" s="2">
        <v>0.2354</v>
      </c>
    </row>
    <row r="9" spans="1:2" x14ac:dyDescent="0.3">
      <c r="A9" s="5" t="s">
        <v>5</v>
      </c>
      <c r="B9" s="2">
        <v>7.2300000000000003E-2</v>
      </c>
    </row>
    <row r="10" spans="1:2" x14ac:dyDescent="0.3">
      <c r="A10" s="5" t="s">
        <v>30</v>
      </c>
      <c r="B10" s="2">
        <v>1.2597</v>
      </c>
    </row>
  </sheetData>
  <pageMargins left="0.7" right="0.7" top="0.75" bottom="0.75" header="0.3" footer="0.3"/>
  <headerFooter>
    <oddFooter>&amp;C_x000D_&amp;1#&amp;"Arial"&amp;10&amp;K000000 Internal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4161-89BA-4C8D-9382-E6D2E4E0F392}">
  <dimension ref="A3:B10"/>
  <sheetViews>
    <sheetView workbookViewId="0">
      <selection activeCell="H18" sqref="H18"/>
    </sheetView>
  </sheetViews>
  <sheetFormatPr defaultColWidth="8.796875" defaultRowHeight="15.6" x14ac:dyDescent="0.3"/>
  <cols>
    <col min="1" max="1" width="12.19921875" bestFit="1" customWidth="1"/>
    <col min="2" max="2" width="16.296875" bestFit="1" customWidth="1"/>
    <col min="3" max="6" width="15" bestFit="1" customWidth="1"/>
    <col min="7" max="7" width="10.69921875" bestFit="1" customWidth="1"/>
  </cols>
  <sheetData>
    <row r="3" spans="1:2" x14ac:dyDescent="0.3">
      <c r="A3" s="4" t="s">
        <v>29</v>
      </c>
      <c r="B3" t="s">
        <v>40</v>
      </c>
    </row>
    <row r="4" spans="1:2" x14ac:dyDescent="0.3">
      <c r="A4" s="5" t="s">
        <v>8</v>
      </c>
      <c r="B4">
        <v>5.05</v>
      </c>
    </row>
    <row r="5" spans="1:2" x14ac:dyDescent="0.3">
      <c r="A5" s="5" t="s">
        <v>7</v>
      </c>
      <c r="B5">
        <v>4.5500000000000007</v>
      </c>
    </row>
    <row r="6" spans="1:2" x14ac:dyDescent="0.3">
      <c r="A6" s="5" t="s">
        <v>10</v>
      </c>
      <c r="B6">
        <v>1.9000000000000001</v>
      </c>
    </row>
    <row r="7" spans="1:2" x14ac:dyDescent="0.3">
      <c r="A7" s="5" t="s">
        <v>9</v>
      </c>
      <c r="B7">
        <v>3.1</v>
      </c>
    </row>
    <row r="8" spans="1:2" x14ac:dyDescent="0.3">
      <c r="A8" s="5" t="s">
        <v>6</v>
      </c>
      <c r="B8">
        <v>4.3499999999999996</v>
      </c>
    </row>
    <row r="9" spans="1:2" x14ac:dyDescent="0.3">
      <c r="A9" s="5" t="s">
        <v>5</v>
      </c>
      <c r="B9">
        <v>2.0500000000000003</v>
      </c>
    </row>
    <row r="10" spans="1:2" x14ac:dyDescent="0.3">
      <c r="A10" s="5" t="s">
        <v>30</v>
      </c>
      <c r="B10">
        <v>21.000000000000004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A017-FE9E-4CED-B126-9A6A06CD1ED2}">
  <dimension ref="A3:B10"/>
  <sheetViews>
    <sheetView workbookViewId="0">
      <selection activeCell="K18" sqref="K18"/>
    </sheetView>
  </sheetViews>
  <sheetFormatPr defaultColWidth="8.796875" defaultRowHeight="15.6" x14ac:dyDescent="0.3"/>
  <cols>
    <col min="1" max="1" width="12.296875" bestFit="1" customWidth="1"/>
    <col min="2" max="2" width="22.296875" bestFit="1" customWidth="1"/>
  </cols>
  <sheetData>
    <row r="3" spans="1:2" x14ac:dyDescent="0.3">
      <c r="A3" s="4" t="s">
        <v>29</v>
      </c>
      <c r="B3" t="s">
        <v>31</v>
      </c>
    </row>
    <row r="4" spans="1:2" x14ac:dyDescent="0.3">
      <c r="A4" s="5" t="s">
        <v>8</v>
      </c>
      <c r="B4">
        <v>0.08</v>
      </c>
    </row>
    <row r="5" spans="1:2" x14ac:dyDescent="0.3">
      <c r="A5" s="5" t="s">
        <v>7</v>
      </c>
      <c r="B5">
        <v>1.87</v>
      </c>
    </row>
    <row r="6" spans="1:2" x14ac:dyDescent="0.3">
      <c r="A6" s="5" t="s">
        <v>10</v>
      </c>
      <c r="B6">
        <v>1.1200000000000001</v>
      </c>
    </row>
    <row r="7" spans="1:2" x14ac:dyDescent="0.3">
      <c r="A7" s="5" t="s">
        <v>9</v>
      </c>
      <c r="B7">
        <v>0.8</v>
      </c>
    </row>
    <row r="8" spans="1:2" x14ac:dyDescent="0.3">
      <c r="A8" s="5" t="s">
        <v>6</v>
      </c>
      <c r="B8">
        <v>0.25</v>
      </c>
    </row>
    <row r="9" spans="1:2" x14ac:dyDescent="0.3">
      <c r="A9" s="5" t="s">
        <v>5</v>
      </c>
      <c r="B9">
        <v>0.72160000000000002</v>
      </c>
    </row>
    <row r="10" spans="1:2" x14ac:dyDescent="0.3">
      <c r="A10" s="5" t="s">
        <v>30</v>
      </c>
      <c r="B10">
        <v>4.8415999999999997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560F-0DC4-4399-9848-5497BE746635}">
  <dimension ref="A1:B10"/>
  <sheetViews>
    <sheetView workbookViewId="0">
      <selection activeCell="L6" sqref="L6"/>
    </sheetView>
  </sheetViews>
  <sheetFormatPr defaultColWidth="8.796875" defaultRowHeight="15.6" x14ac:dyDescent="0.3"/>
  <cols>
    <col min="1" max="1" width="8.69921875" bestFit="1" customWidth="1"/>
    <col min="2" max="2" width="21.796875" bestFit="1" customWidth="1"/>
    <col min="3" max="3" width="5.69921875" bestFit="1" customWidth="1"/>
    <col min="4" max="4" width="4.19921875" bestFit="1" customWidth="1"/>
    <col min="5" max="5" width="6.19921875" bestFit="1" customWidth="1"/>
    <col min="6" max="6" width="8.19921875" bestFit="1" customWidth="1"/>
    <col min="7" max="7" width="5.69921875" bestFit="1" customWidth="1"/>
    <col min="8" max="8" width="5.796875" bestFit="1" customWidth="1"/>
  </cols>
  <sheetData>
    <row r="1" spans="1:2" ht="31.2" x14ac:dyDescent="0.3">
      <c r="A1" s="6" t="s">
        <v>28</v>
      </c>
      <c r="B1" s="7" t="s">
        <v>32</v>
      </c>
    </row>
    <row r="2" spans="1:2" x14ac:dyDescent="0.3">
      <c r="A2" s="7"/>
      <c r="B2" s="7"/>
    </row>
    <row r="3" spans="1:2" ht="31.2" x14ac:dyDescent="0.3">
      <c r="A3" s="6" t="s">
        <v>29</v>
      </c>
      <c r="B3" s="7" t="s">
        <v>34</v>
      </c>
    </row>
    <row r="4" spans="1:2" x14ac:dyDescent="0.3">
      <c r="A4" s="8">
        <v>1</v>
      </c>
      <c r="B4" s="7">
        <v>4.3099999999999996</v>
      </c>
    </row>
    <row r="5" spans="1:2" x14ac:dyDescent="0.3">
      <c r="A5" s="8">
        <v>2</v>
      </c>
      <c r="B5" s="7">
        <v>8.66</v>
      </c>
    </row>
    <row r="6" spans="1:2" x14ac:dyDescent="0.3">
      <c r="A6" s="8">
        <v>3</v>
      </c>
      <c r="B6" s="7">
        <v>15.91</v>
      </c>
    </row>
    <row r="7" spans="1:2" x14ac:dyDescent="0.3">
      <c r="A7" s="8">
        <v>4</v>
      </c>
      <c r="B7" s="7">
        <v>37.29</v>
      </c>
    </row>
    <row r="8" spans="1:2" x14ac:dyDescent="0.3">
      <c r="A8" s="8">
        <v>5</v>
      </c>
      <c r="B8" s="7">
        <v>419.37</v>
      </c>
    </row>
    <row r="9" spans="1:2" x14ac:dyDescent="0.3">
      <c r="A9" s="8">
        <v>6</v>
      </c>
      <c r="B9" s="7">
        <v>9.9999999999999997E+98</v>
      </c>
    </row>
    <row r="10" spans="1:2" ht="31.2" x14ac:dyDescent="0.3">
      <c r="A10" s="8" t="s">
        <v>30</v>
      </c>
      <c r="B10" s="7">
        <v>9.9999999999999997E+98</v>
      </c>
    </row>
  </sheetData>
  <pageMargins left="0.7" right="0.7" top="0.75" bottom="0.75" header="0.3" footer="0.3"/>
  <headerFooter>
    <oddFooter>&amp;C_x000D_&amp;1#&amp;"Arial"&amp;10&amp;K000000 Internal</oddFooter>
  </headerFooter>
  <drawing r:id="rId2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Calculation</vt:lpstr>
      <vt:lpstr>Analysis</vt:lpstr>
      <vt:lpstr>Finance Rating</vt:lpstr>
      <vt:lpstr>Scoring Model</vt:lpstr>
      <vt:lpstr>Days of Account Receivables</vt:lpstr>
      <vt:lpstr>Operating Margin</vt:lpstr>
      <vt:lpstr>ROI</vt:lpstr>
      <vt:lpstr>Weighed Score</vt:lpstr>
      <vt:lpstr>Debt Equity Ratio</vt:lpstr>
      <vt:lpstr>Interest Coverage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Bishakha Nihalani</cp:lastModifiedBy>
  <dcterms:created xsi:type="dcterms:W3CDTF">2025-04-21T17:27:02Z</dcterms:created>
  <dcterms:modified xsi:type="dcterms:W3CDTF">2025-04-24T15:03:27Z</dcterms:modified>
</cp:coreProperties>
</file>