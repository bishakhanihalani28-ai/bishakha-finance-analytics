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0127919\Downloads\"/>
    </mc:Choice>
  </mc:AlternateContent>
  <xr:revisionPtr revIDLastSave="0" documentId="13_ncr:1_{AA49D45D-7D6D-4DEE-9A8F-9DFDC40E4E5B}" xr6:coauthVersionLast="47" xr6:coauthVersionMax="47" xr10:uidLastSave="{00000000-0000-0000-0000-000000000000}"/>
  <bookViews>
    <workbookView xWindow="-110" yWindow="-110" windowWidth="19420" windowHeight="11500" activeTab="2" xr2:uid="{9A5AC396-22CE-4BE6-AEAF-36DD34B952FE}"/>
  </bookViews>
  <sheets>
    <sheet name="ROC &amp; ROCE" sheetId="2" r:id="rId1"/>
    <sheet name="TSR" sheetId="4" r:id="rId2"/>
    <sheet name="MV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E75" i="4"/>
  <c r="D75" i="4"/>
  <c r="C75" i="4"/>
  <c r="B75" i="4"/>
  <c r="H74" i="4"/>
  <c r="J74" i="4" s="1"/>
  <c r="C71" i="4"/>
  <c r="I76" i="4" s="1"/>
  <c r="C70" i="4"/>
  <c r="I75" i="4" s="1"/>
  <c r="C69" i="4"/>
  <c r="I74" i="4" s="1"/>
  <c r="C68" i="4"/>
  <c r="E62" i="4"/>
  <c r="D62" i="4"/>
  <c r="C62" i="4"/>
  <c r="B62" i="4"/>
  <c r="H61" i="4"/>
  <c r="J61" i="4" s="1"/>
  <c r="C58" i="4"/>
  <c r="I63" i="4" s="1"/>
  <c r="C57" i="4"/>
  <c r="I62" i="4" s="1"/>
  <c r="C56" i="4"/>
  <c r="I61" i="4" s="1"/>
  <c r="C55" i="4"/>
  <c r="E49" i="4"/>
  <c r="H50" i="4" s="1"/>
  <c r="J50" i="4" s="1"/>
  <c r="D49" i="4"/>
  <c r="C49" i="4"/>
  <c r="B49" i="4"/>
  <c r="H48" i="4"/>
  <c r="J48" i="4" s="1"/>
  <c r="C45" i="4"/>
  <c r="I50" i="4" s="1"/>
  <c r="C44" i="4"/>
  <c r="I49" i="4" s="1"/>
  <c r="C43" i="4"/>
  <c r="I48" i="4" s="1"/>
  <c r="C42" i="4"/>
  <c r="E37" i="4"/>
  <c r="D37" i="4"/>
  <c r="C37" i="4"/>
  <c r="B37" i="4"/>
  <c r="H36" i="4"/>
  <c r="J36" i="4" s="1"/>
  <c r="C33" i="4"/>
  <c r="I38" i="4" s="1"/>
  <c r="C32" i="4"/>
  <c r="I37" i="4" s="1"/>
  <c r="C31" i="4"/>
  <c r="I36" i="4" s="1"/>
  <c r="C30" i="4"/>
  <c r="E21" i="4"/>
  <c r="C17" i="4"/>
  <c r="H75" i="4" l="1"/>
  <c r="J75" i="4" s="1"/>
  <c r="H76" i="4"/>
  <c r="J76" i="4" s="1"/>
  <c r="H62" i="4"/>
  <c r="J62" i="4" s="1"/>
  <c r="H63" i="4"/>
  <c r="J63" i="4" s="1"/>
  <c r="H49" i="4"/>
  <c r="J49" i="4" s="1"/>
  <c r="H37" i="4"/>
  <c r="J37" i="4" s="1"/>
  <c r="H38" i="4"/>
  <c r="J38" i="4" s="1"/>
  <c r="D21" i="4" l="1"/>
  <c r="C21" i="4"/>
  <c r="H20" i="4" s="1"/>
  <c r="J20" i="4" s="1"/>
  <c r="B21" i="4"/>
  <c r="C14" i="4"/>
  <c r="C15" i="4"/>
  <c r="C16" i="4"/>
  <c r="I21" i="4" s="1"/>
  <c r="I20" i="4"/>
  <c r="H22" i="4"/>
  <c r="J22" i="4" s="1"/>
  <c r="I22" i="4"/>
  <c r="E10" i="4"/>
  <c r="D10" i="4"/>
  <c r="H4" i="4" s="1"/>
  <c r="J4" i="4" s="1"/>
  <c r="C10" i="4"/>
  <c r="H3" i="4" s="1"/>
  <c r="J3" i="4" s="1"/>
  <c r="B10" i="4"/>
  <c r="D4" i="4"/>
  <c r="I3" i="4" s="1"/>
  <c r="D5" i="4"/>
  <c r="I4" i="4" s="1"/>
  <c r="D6" i="4"/>
  <c r="I5" i="4" s="1"/>
  <c r="D3" i="4"/>
  <c r="J5" i="3"/>
  <c r="J6" i="3"/>
  <c r="J7" i="3"/>
  <c r="I5" i="3"/>
  <c r="I6" i="3"/>
  <c r="I7" i="3"/>
  <c r="I8" i="3"/>
  <c r="H5" i="3"/>
  <c r="H6" i="3"/>
  <c r="H7" i="3"/>
  <c r="H8" i="3"/>
  <c r="J4" i="3"/>
  <c r="I4" i="3"/>
  <c r="H4" i="3"/>
  <c r="J3" i="3"/>
  <c r="I3" i="3"/>
  <c r="H3" i="3"/>
  <c r="I29" i="2"/>
  <c r="I25" i="2"/>
  <c r="I26" i="2"/>
  <c r="I27" i="2"/>
  <c r="I28" i="2"/>
  <c r="I24" i="2"/>
  <c r="I15" i="2"/>
  <c r="I16" i="2"/>
  <c r="I17" i="2"/>
  <c r="I18" i="2"/>
  <c r="I19" i="2"/>
  <c r="I14" i="2"/>
  <c r="I6" i="2"/>
  <c r="I5" i="2"/>
  <c r="I7" i="2"/>
  <c r="I8" i="2"/>
  <c r="I9" i="2"/>
  <c r="I4" i="2"/>
  <c r="D29" i="2"/>
  <c r="D19" i="2"/>
  <c r="D9" i="2"/>
  <c r="D28" i="2"/>
  <c r="D18" i="2"/>
  <c r="D8" i="2"/>
  <c r="D27" i="2"/>
  <c r="D17" i="2"/>
  <c r="D7" i="2"/>
  <c r="D6" i="2"/>
  <c r="D26" i="2"/>
  <c r="D16" i="2"/>
  <c r="D25" i="2"/>
  <c r="D15" i="2"/>
  <c r="D5" i="2"/>
  <c r="D24" i="2"/>
  <c r="D14" i="2"/>
  <c r="D4" i="2"/>
  <c r="H21" i="4" l="1"/>
  <c r="J21" i="4" s="1"/>
  <c r="H5" i="4"/>
  <c r="J5" i="4" s="1"/>
</calcChain>
</file>

<file path=xl/sharedStrings.xml><?xml version="1.0" encoding="utf-8"?>
<sst xmlns="http://schemas.openxmlformats.org/spreadsheetml/2006/main" count="134" uniqueCount="44">
  <si>
    <t>Year</t>
  </si>
  <si>
    <t>Year 2022</t>
  </si>
  <si>
    <t>Company</t>
  </si>
  <si>
    <t>Fedex</t>
  </si>
  <si>
    <t>P&amp;G</t>
  </si>
  <si>
    <t>Pfizer</t>
  </si>
  <si>
    <t>GSK</t>
  </si>
  <si>
    <t>PepsiCo</t>
  </si>
  <si>
    <t>John Deere</t>
  </si>
  <si>
    <t>ROS (Return on Sales)</t>
  </si>
  <si>
    <t>Year 2023</t>
  </si>
  <si>
    <t>Year 2024</t>
  </si>
  <si>
    <t>Total Revenue (in M$)</t>
  </si>
  <si>
    <t>Net Income (in M$)</t>
  </si>
  <si>
    <t>ROS</t>
  </si>
  <si>
    <t>ROCE</t>
  </si>
  <si>
    <t>ROCE (Return on Capital Employed)</t>
  </si>
  <si>
    <t>EBIT(in M$)</t>
  </si>
  <si>
    <t>Liabilities (in M$)</t>
  </si>
  <si>
    <t>Equity (in M$)</t>
  </si>
  <si>
    <t>Liabilities + Equity (in M$)</t>
  </si>
  <si>
    <t>Non Interest Bearing Liabilities (in M$)</t>
  </si>
  <si>
    <t>MVA (Market Value Added)</t>
  </si>
  <si>
    <t>Market Capitalisation</t>
  </si>
  <si>
    <t>MVA%</t>
  </si>
  <si>
    <t>Share Price (in $)</t>
  </si>
  <si>
    <t>Number of Outstanding Shares (in M$)</t>
  </si>
  <si>
    <t>Market Capitalisation (in M$)</t>
  </si>
  <si>
    <t>Non-Interest Bearing Capabilities (in M$)</t>
  </si>
  <si>
    <t>Econpmic Book Capital (in M$)</t>
  </si>
  <si>
    <t>Market Value Added (in M$)</t>
  </si>
  <si>
    <t>FEDEX</t>
  </si>
  <si>
    <t>Dividend per share</t>
  </si>
  <si>
    <t>TSR</t>
  </si>
  <si>
    <t>TSR per Share</t>
  </si>
  <si>
    <t>TSR %</t>
  </si>
  <si>
    <t>Dividends Paid(in M$)</t>
  </si>
  <si>
    <t>Outstanding shares (in M$)</t>
  </si>
  <si>
    <t>Market cap (IN m$)</t>
  </si>
  <si>
    <t>Share Price(IN $)</t>
  </si>
  <si>
    <t xml:space="preserve">Dividends Paid </t>
  </si>
  <si>
    <t>Dividends per Share ( in $ )</t>
  </si>
  <si>
    <t>Outstanding Shares</t>
  </si>
  <si>
    <t xml:space="preserve">Share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</si>
</sst>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10" fontId="0" fillId="0" borderId="1" xfId="0" applyNumberFormat="1" applyBorder="1"/>
    <xf numFmtId="0" fontId="4" fillId="0" borderId="1" xfId="0" applyFont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B8EA-1571-4CC9-89DA-BEFE4DF0E966}">
  <dimension ref="A1:I29"/>
  <sheetViews>
    <sheetView topLeftCell="A19" zoomScale="80" workbookViewId="0">
      <selection activeCell="I24" sqref="I24"/>
    </sheetView>
  </sheetViews>
  <sheetFormatPr defaultColWidth="8.90625" defaultRowHeight="14.5" x14ac:dyDescent="0.35"/>
  <cols>
    <col min="1" max="1" width="12.36328125" style="3" customWidth="1"/>
    <col min="2" max="2" width="18.1796875" style="3" customWidth="1"/>
    <col min="3" max="3" width="16.1796875" style="3" customWidth="1"/>
    <col min="4" max="4" width="19.81640625" style="3" customWidth="1"/>
    <col min="5" max="5" width="8.90625" style="3"/>
    <col min="6" max="6" width="11" style="3" customWidth="1"/>
    <col min="7" max="7" width="20.6328125" style="3" customWidth="1"/>
    <col min="8" max="8" width="31" style="3" customWidth="1"/>
    <col min="9" max="9" width="28.81640625" style="3" customWidth="1"/>
    <col min="10" max="16384" width="8.90625" style="3"/>
  </cols>
  <sheetData>
    <row r="1" spans="1:9" x14ac:dyDescent="0.35">
      <c r="A1" s="18" t="s">
        <v>1</v>
      </c>
      <c r="B1" s="19"/>
      <c r="C1" s="19"/>
      <c r="D1" s="19"/>
      <c r="E1" s="19"/>
      <c r="F1" s="19"/>
      <c r="G1" s="19"/>
      <c r="H1" s="19"/>
      <c r="I1" s="20"/>
    </row>
    <row r="2" spans="1:9" x14ac:dyDescent="0.35">
      <c r="A2" s="18" t="s">
        <v>14</v>
      </c>
      <c r="B2" s="21"/>
      <c r="C2" s="21"/>
      <c r="D2" s="22"/>
      <c r="E2" s="18" t="s">
        <v>15</v>
      </c>
      <c r="F2" s="21"/>
      <c r="G2" s="21"/>
      <c r="H2" s="21"/>
      <c r="I2" s="22"/>
    </row>
    <row r="3" spans="1:9" ht="16" x14ac:dyDescent="0.4">
      <c r="A3" s="4" t="s">
        <v>2</v>
      </c>
      <c r="B3" s="5" t="s">
        <v>12</v>
      </c>
      <c r="C3" s="5" t="s">
        <v>13</v>
      </c>
      <c r="D3" s="5" t="s">
        <v>9</v>
      </c>
      <c r="F3" s="3" t="s">
        <v>17</v>
      </c>
      <c r="G3" s="3" t="s">
        <v>20</v>
      </c>
      <c r="H3" s="3" t="s">
        <v>21</v>
      </c>
      <c r="I3" s="3" t="s">
        <v>16</v>
      </c>
    </row>
    <row r="4" spans="1:9" x14ac:dyDescent="0.35">
      <c r="A4" s="7" t="s">
        <v>3</v>
      </c>
      <c r="B4" s="3">
        <v>93512</v>
      </c>
      <c r="C4" s="3">
        <v>3826</v>
      </c>
      <c r="D4" s="6">
        <f t="shared" ref="D4:D9" si="0">C4/B4</f>
        <v>4.0914535032936947E-2</v>
      </c>
      <c r="F4" s="3">
        <v>6245</v>
      </c>
      <c r="G4" s="3">
        <v>85994</v>
      </c>
      <c r="H4" s="3">
        <v>11740</v>
      </c>
      <c r="I4" s="6">
        <f>(F4/(G4-H4))</f>
        <v>8.4103213294906679E-2</v>
      </c>
    </row>
    <row r="5" spans="1:9" x14ac:dyDescent="0.35">
      <c r="A5" s="7" t="s">
        <v>4</v>
      </c>
      <c r="B5" s="3">
        <v>80187</v>
      </c>
      <c r="C5" s="3">
        <v>14742</v>
      </c>
      <c r="D5" s="6">
        <f t="shared" si="0"/>
        <v>0.18384526170077445</v>
      </c>
      <c r="F5" s="3">
        <v>17995</v>
      </c>
      <c r="G5" s="3">
        <v>117208</v>
      </c>
      <c r="H5" s="3">
        <v>24436</v>
      </c>
      <c r="I5" s="6">
        <f t="shared" ref="I5:I9" si="1">(F5/(G5-H5))</f>
        <v>0.19397016341137413</v>
      </c>
    </row>
    <row r="6" spans="1:9" x14ac:dyDescent="0.35">
      <c r="A6" s="7" t="s">
        <v>6</v>
      </c>
      <c r="B6" s="3">
        <v>29324</v>
      </c>
      <c r="C6" s="3">
        <v>15621</v>
      </c>
      <c r="D6" s="6">
        <f t="shared" si="0"/>
        <v>0.53270358750511526</v>
      </c>
      <c r="F6" s="3">
        <v>6433</v>
      </c>
      <c r="G6" s="3">
        <v>60146</v>
      </c>
      <c r="H6" s="3">
        <v>18858</v>
      </c>
      <c r="I6" s="6">
        <f>(F6/(G6-H6))</f>
        <v>0.15580798294904089</v>
      </c>
    </row>
    <row r="7" spans="1:9" x14ac:dyDescent="0.35">
      <c r="A7" s="7" t="s">
        <v>8</v>
      </c>
      <c r="B7" s="3">
        <v>52577</v>
      </c>
      <c r="C7" s="3">
        <v>7131</v>
      </c>
      <c r="D7" s="6">
        <f t="shared" si="0"/>
        <v>0.13562964794491889</v>
      </c>
      <c r="F7" s="3">
        <v>9127</v>
      </c>
      <c r="G7" s="3">
        <v>89938</v>
      </c>
      <c r="H7" s="3">
        <v>17270</v>
      </c>
      <c r="I7" s="6">
        <f t="shared" si="1"/>
        <v>0.12559861286948865</v>
      </c>
    </row>
    <row r="8" spans="1:9" x14ac:dyDescent="0.35">
      <c r="A8" s="7" t="s">
        <v>5</v>
      </c>
      <c r="B8" s="3">
        <v>101175</v>
      </c>
      <c r="C8" s="3">
        <v>31372</v>
      </c>
      <c r="D8" s="6">
        <f t="shared" si="0"/>
        <v>0.31007659995058068</v>
      </c>
      <c r="F8" s="3">
        <v>34729</v>
      </c>
      <c r="G8" s="3">
        <v>197205</v>
      </c>
      <c r="H8" s="3">
        <v>39193</v>
      </c>
      <c r="I8" s="6">
        <f t="shared" si="1"/>
        <v>0.2197871047768524</v>
      </c>
    </row>
    <row r="9" spans="1:9" x14ac:dyDescent="0.35">
      <c r="A9" s="7" t="s">
        <v>7</v>
      </c>
      <c r="B9" s="3">
        <v>86392</v>
      </c>
      <c r="C9" s="3">
        <v>8910</v>
      </c>
      <c r="D9" s="6">
        <f t="shared" si="0"/>
        <v>0.10313454949532364</v>
      </c>
      <c r="F9" s="3">
        <v>10705</v>
      </c>
      <c r="G9" s="3">
        <v>92187</v>
      </c>
      <c r="H9" s="3">
        <v>23371</v>
      </c>
      <c r="I9" s="6">
        <f t="shared" si="1"/>
        <v>0.15555975354568705</v>
      </c>
    </row>
    <row r="11" spans="1:9" x14ac:dyDescent="0.35">
      <c r="A11" s="18" t="s">
        <v>10</v>
      </c>
      <c r="B11" s="19"/>
      <c r="C11" s="19"/>
      <c r="D11" s="19"/>
      <c r="E11" s="19"/>
      <c r="F11" s="19"/>
      <c r="G11" s="19"/>
      <c r="H11" s="19"/>
      <c r="I11" s="20"/>
    </row>
    <row r="12" spans="1:9" x14ac:dyDescent="0.35">
      <c r="A12" s="18" t="s">
        <v>14</v>
      </c>
      <c r="B12" s="21"/>
      <c r="C12" s="21"/>
      <c r="D12" s="22"/>
      <c r="E12" s="18" t="s">
        <v>15</v>
      </c>
      <c r="F12" s="21"/>
      <c r="G12" s="21"/>
      <c r="H12" s="21"/>
      <c r="I12" s="22"/>
    </row>
    <row r="13" spans="1:9" ht="16" x14ac:dyDescent="0.4">
      <c r="A13" s="4" t="s">
        <v>2</v>
      </c>
      <c r="B13" s="5" t="s">
        <v>12</v>
      </c>
      <c r="C13" s="5" t="s">
        <v>13</v>
      </c>
      <c r="D13" s="5" t="s">
        <v>9</v>
      </c>
      <c r="F13" s="3" t="s">
        <v>17</v>
      </c>
      <c r="G13" s="3" t="s">
        <v>20</v>
      </c>
      <c r="H13" s="3" t="s">
        <v>21</v>
      </c>
      <c r="I13" s="3" t="s">
        <v>16</v>
      </c>
    </row>
    <row r="14" spans="1:9" x14ac:dyDescent="0.35">
      <c r="A14" s="7" t="s">
        <v>3</v>
      </c>
      <c r="B14" s="3">
        <v>9015</v>
      </c>
      <c r="C14" s="3">
        <v>3972</v>
      </c>
      <c r="D14" s="6">
        <f t="shared" ref="D14:D19" si="2">C14/B14</f>
        <v>0.44059900166389349</v>
      </c>
      <c r="F14" s="3">
        <v>4912</v>
      </c>
      <c r="G14" s="3">
        <v>87143</v>
      </c>
      <c r="H14" s="3">
        <v>13586</v>
      </c>
      <c r="I14" s="6">
        <f t="shared" ref="I14:I19" si="3">(F14/(G14-H14))</f>
        <v>6.6778144840056008E-2</v>
      </c>
    </row>
    <row r="15" spans="1:9" x14ac:dyDescent="0.35">
      <c r="A15" s="7" t="s">
        <v>4</v>
      </c>
      <c r="B15" s="3">
        <v>82006</v>
      </c>
      <c r="C15" s="3">
        <v>14653</v>
      </c>
      <c r="D15" s="6">
        <f t="shared" si="2"/>
        <v>0.17868204765504964</v>
      </c>
      <c r="F15" s="3">
        <v>18353</v>
      </c>
      <c r="G15" s="3">
        <v>120829</v>
      </c>
      <c r="H15" s="3">
        <v>25527</v>
      </c>
      <c r="I15" s="6">
        <f t="shared" si="3"/>
        <v>0.1925772806446874</v>
      </c>
    </row>
    <row r="16" spans="1:9" x14ac:dyDescent="0.35">
      <c r="A16" s="7" t="s">
        <v>6</v>
      </c>
      <c r="B16" s="3">
        <v>30328</v>
      </c>
      <c r="C16" s="3">
        <v>5308</v>
      </c>
      <c r="D16" s="6">
        <f t="shared" si="2"/>
        <v>0.17501978369823265</v>
      </c>
      <c r="F16" s="3">
        <v>6745</v>
      </c>
      <c r="G16" s="3">
        <v>59005</v>
      </c>
      <c r="H16" s="3">
        <v>18255</v>
      </c>
      <c r="I16" s="6">
        <f t="shared" si="3"/>
        <v>0.16552147239263804</v>
      </c>
    </row>
    <row r="17" spans="1:9" x14ac:dyDescent="0.35">
      <c r="A17" s="7" t="s">
        <v>8</v>
      </c>
      <c r="B17" s="3">
        <v>61251</v>
      </c>
      <c r="C17" s="3">
        <v>10166</v>
      </c>
      <c r="D17" s="6">
        <f t="shared" si="2"/>
        <v>0.16597280044407439</v>
      </c>
      <c r="F17" s="3">
        <v>13019</v>
      </c>
      <c r="G17" s="3">
        <v>104087</v>
      </c>
      <c r="H17" s="3">
        <v>18270</v>
      </c>
      <c r="I17" s="6">
        <f t="shared" si="3"/>
        <v>0.151706538331566</v>
      </c>
    </row>
    <row r="18" spans="1:9" x14ac:dyDescent="0.35">
      <c r="A18" s="7" t="s">
        <v>5</v>
      </c>
      <c r="B18" s="3">
        <v>59553</v>
      </c>
      <c r="C18" s="3">
        <v>2119</v>
      </c>
      <c r="D18" s="6">
        <f t="shared" si="2"/>
        <v>3.5581750709452083E-2</v>
      </c>
      <c r="F18" s="3">
        <v>1058</v>
      </c>
      <c r="G18" s="3">
        <v>226501</v>
      </c>
      <c r="H18" s="3">
        <v>37444</v>
      </c>
      <c r="I18" s="6">
        <f t="shared" si="3"/>
        <v>5.5961958562761498E-3</v>
      </c>
    </row>
    <row r="19" spans="1:9" x14ac:dyDescent="0.35">
      <c r="A19" s="7" t="s">
        <v>7</v>
      </c>
      <c r="B19" s="3">
        <v>91471</v>
      </c>
      <c r="C19" s="3">
        <v>9074</v>
      </c>
      <c r="D19" s="6">
        <f t="shared" si="2"/>
        <v>9.920083961036831E-2</v>
      </c>
      <c r="F19" s="3">
        <v>11417</v>
      </c>
      <c r="G19" s="3">
        <v>100495</v>
      </c>
      <c r="H19" s="3">
        <v>25137</v>
      </c>
      <c r="I19" s="6">
        <f t="shared" si="3"/>
        <v>0.15150349000769658</v>
      </c>
    </row>
    <row r="21" spans="1:9" x14ac:dyDescent="0.35">
      <c r="A21" s="18" t="s">
        <v>11</v>
      </c>
      <c r="B21" s="19"/>
      <c r="C21" s="19"/>
      <c r="D21" s="19"/>
      <c r="E21" s="19"/>
      <c r="F21" s="19"/>
      <c r="G21" s="19"/>
      <c r="H21" s="19"/>
      <c r="I21" s="20"/>
    </row>
    <row r="22" spans="1:9" x14ac:dyDescent="0.35">
      <c r="A22" s="18" t="s">
        <v>14</v>
      </c>
      <c r="B22" s="21"/>
      <c r="C22" s="21"/>
      <c r="D22" s="22"/>
      <c r="E22" s="18" t="s">
        <v>15</v>
      </c>
      <c r="F22" s="21"/>
      <c r="G22" s="21"/>
      <c r="H22" s="21"/>
      <c r="I22" s="22"/>
    </row>
    <row r="23" spans="1:9" ht="16" x14ac:dyDescent="0.4">
      <c r="A23" s="4" t="s">
        <v>2</v>
      </c>
      <c r="B23" s="5" t="s">
        <v>12</v>
      </c>
      <c r="C23" s="5" t="s">
        <v>13</v>
      </c>
      <c r="D23" s="5" t="s">
        <v>9</v>
      </c>
      <c r="F23" s="3" t="s">
        <v>17</v>
      </c>
      <c r="G23" s="3" t="s">
        <v>20</v>
      </c>
      <c r="H23" s="3" t="s">
        <v>21</v>
      </c>
      <c r="I23" s="3" t="s">
        <v>16</v>
      </c>
    </row>
    <row r="24" spans="1:9" x14ac:dyDescent="0.35">
      <c r="A24" s="7" t="s">
        <v>3</v>
      </c>
      <c r="B24" s="3">
        <v>8769</v>
      </c>
      <c r="C24" s="3">
        <v>4331</v>
      </c>
      <c r="D24" s="6">
        <f t="shared" ref="D24:D29" si="4">C24/B24</f>
        <v>0.49389896225339264</v>
      </c>
      <c r="F24" s="3">
        <v>5559</v>
      </c>
      <c r="G24" s="3">
        <v>87007</v>
      </c>
      <c r="H24" s="3">
        <v>13355</v>
      </c>
      <c r="I24" s="6">
        <f t="shared" ref="I24:I29" si="5">(F24/(G24-H24))</f>
        <v>7.5476565470048329E-2</v>
      </c>
    </row>
    <row r="25" spans="1:9" x14ac:dyDescent="0.35">
      <c r="A25" s="7" t="s">
        <v>4</v>
      </c>
      <c r="B25" s="3">
        <v>84039</v>
      </c>
      <c r="C25" s="3">
        <v>14879</v>
      </c>
      <c r="D25" s="6">
        <f t="shared" si="4"/>
        <v>0.17704875117504967</v>
      </c>
      <c r="F25" s="3">
        <v>18761</v>
      </c>
      <c r="G25" s="3">
        <v>122370</v>
      </c>
      <c r="H25" s="3">
        <v>26436</v>
      </c>
      <c r="I25" s="6">
        <f t="shared" si="5"/>
        <v>0.1955615318865053</v>
      </c>
    </row>
    <row r="26" spans="1:9" x14ac:dyDescent="0.35">
      <c r="A26" s="7" t="s">
        <v>6</v>
      </c>
      <c r="B26" s="3">
        <v>31376</v>
      </c>
      <c r="C26" s="3">
        <v>2951</v>
      </c>
      <c r="D26" s="6">
        <f t="shared" si="4"/>
        <v>9.405277919428863E-2</v>
      </c>
      <c r="F26" s="3">
        <v>4021</v>
      </c>
      <c r="G26" s="3">
        <v>59463</v>
      </c>
      <c r="H26" s="3">
        <v>19348</v>
      </c>
      <c r="I26" s="6">
        <f t="shared" si="5"/>
        <v>0.10023681914495824</v>
      </c>
    </row>
    <row r="27" spans="1:9" x14ac:dyDescent="0.35">
      <c r="A27" s="7" t="s">
        <v>8</v>
      </c>
      <c r="B27" s="3">
        <v>51716</v>
      </c>
      <c r="C27" s="3">
        <v>7100</v>
      </c>
      <c r="D27" s="6">
        <f t="shared" si="4"/>
        <v>0.13728826668729213</v>
      </c>
      <c r="F27" s="3">
        <v>9206</v>
      </c>
      <c r="G27" s="3">
        <v>107320</v>
      </c>
      <c r="H27" s="3">
        <v>19202</v>
      </c>
      <c r="I27" s="6">
        <f t="shared" si="5"/>
        <v>0.10447354683492589</v>
      </c>
    </row>
    <row r="28" spans="1:9" x14ac:dyDescent="0.35">
      <c r="A28" s="7" t="s">
        <v>5</v>
      </c>
      <c r="B28" s="3">
        <v>63627</v>
      </c>
      <c r="C28" s="3">
        <v>8031</v>
      </c>
      <c r="D28" s="6">
        <f t="shared" si="4"/>
        <v>0.1262200009429959</v>
      </c>
      <c r="F28" s="3">
        <v>8023</v>
      </c>
      <c r="G28" s="3">
        <v>213396</v>
      </c>
      <c r="H28" s="3">
        <v>36049</v>
      </c>
      <c r="I28" s="6">
        <f t="shared" si="5"/>
        <v>4.523899473912725E-2</v>
      </c>
    </row>
    <row r="29" spans="1:9" x14ac:dyDescent="0.35">
      <c r="A29" s="7" t="s">
        <v>7</v>
      </c>
      <c r="B29" s="3">
        <v>91854</v>
      </c>
      <c r="C29" s="3">
        <v>9578</v>
      </c>
      <c r="D29" s="6">
        <f t="shared" si="4"/>
        <v>0.10427417423302197</v>
      </c>
      <c r="F29" s="3">
        <v>11946</v>
      </c>
      <c r="G29" s="3">
        <v>99467</v>
      </c>
      <c r="H29" s="3">
        <v>24454</v>
      </c>
      <c r="I29" s="6">
        <f t="shared" si="5"/>
        <v>0.15925239625131643</v>
      </c>
    </row>
  </sheetData>
  <mergeCells count="9">
    <mergeCell ref="A21:I21"/>
    <mergeCell ref="A22:D22"/>
    <mergeCell ref="E22:I22"/>
    <mergeCell ref="A1:I1"/>
    <mergeCell ref="A2:D2"/>
    <mergeCell ref="E2:I2"/>
    <mergeCell ref="A11:I11"/>
    <mergeCell ref="A12:D12"/>
    <mergeCell ref="E12:I12"/>
  </mergeCells>
  <pageMargins left="0.7" right="0.7" top="0.75" bottom="0.75" header="0.3" footer="0.3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7E3D-698C-4F5A-9FBA-314D54092A6D}">
  <dimension ref="A1:J77"/>
  <sheetViews>
    <sheetView topLeftCell="A54" zoomScale="65" workbookViewId="0">
      <selection activeCell="J3" sqref="J3"/>
    </sheetView>
  </sheetViews>
  <sheetFormatPr defaultRowHeight="14.5" x14ac:dyDescent="0.35"/>
  <cols>
    <col min="1" max="1" width="18" customWidth="1"/>
    <col min="2" max="2" width="27.36328125" customWidth="1"/>
    <col min="3" max="3" width="28.1796875" customWidth="1"/>
    <col min="4" max="4" width="25.08984375" customWidth="1"/>
    <col min="5" max="5" width="22.6328125" customWidth="1"/>
    <col min="7" max="7" width="10.81640625" customWidth="1"/>
    <col min="8" max="8" width="23.453125" customWidth="1"/>
    <col min="9" max="9" width="14.90625" customWidth="1"/>
  </cols>
  <sheetData>
    <row r="1" spans="1:10" x14ac:dyDescent="0.35">
      <c r="A1" s="27" t="s">
        <v>31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5">
      <c r="A2" s="2" t="s">
        <v>0</v>
      </c>
      <c r="B2" s="2" t="s">
        <v>36</v>
      </c>
      <c r="C2" s="2" t="s">
        <v>37</v>
      </c>
      <c r="D2" s="2" t="s">
        <v>32</v>
      </c>
      <c r="G2" s="2" t="s">
        <v>0</v>
      </c>
      <c r="H2" s="2" t="s">
        <v>33</v>
      </c>
      <c r="I2" s="2" t="s">
        <v>34</v>
      </c>
      <c r="J2" s="2" t="s">
        <v>35</v>
      </c>
    </row>
    <row r="3" spans="1:10" x14ac:dyDescent="0.35">
      <c r="A3">
        <v>2022</v>
      </c>
      <c r="B3">
        <v>793000000</v>
      </c>
      <c r="C3">
        <v>259800000</v>
      </c>
      <c r="D3" s="9">
        <f>B3/C3</f>
        <v>3.0523479599692069</v>
      </c>
      <c r="G3">
        <v>2022</v>
      </c>
      <c r="H3">
        <f>C10+B4-B10</f>
        <v>7890102400</v>
      </c>
      <c r="I3" s="9">
        <f>((C9-B9)/B9+D4/C9)</f>
        <v>0.19024452607207551</v>
      </c>
      <c r="J3" s="10">
        <f>H3/C10</f>
        <v>0.13623100129674345</v>
      </c>
    </row>
    <row r="4" spans="1:10" x14ac:dyDescent="0.35">
      <c r="A4">
        <v>2023</v>
      </c>
      <c r="B4">
        <v>1177000000</v>
      </c>
      <c r="C4">
        <v>251180000</v>
      </c>
      <c r="D4" s="9">
        <f t="shared" ref="D4:D6" si="0">B4/C4</f>
        <v>4.6858826339676725</v>
      </c>
      <c r="G4">
        <v>2023</v>
      </c>
      <c r="H4">
        <f>D10+B5-C10</f>
        <v>7006495600.0000076</v>
      </c>
      <c r="I4" s="9">
        <f>((D9-C9)/C9+D5/D9)</f>
        <v>0.14996894252532961</v>
      </c>
      <c r="J4" s="10">
        <f>H4/D10</f>
        <v>0.11005327609166678</v>
      </c>
    </row>
    <row r="5" spans="1:10" x14ac:dyDescent="0.35">
      <c r="A5">
        <v>2024</v>
      </c>
      <c r="B5">
        <v>1259000000</v>
      </c>
      <c r="C5">
        <v>244300000</v>
      </c>
      <c r="D5" s="9">
        <f t="shared" si="0"/>
        <v>5.1534997953336061</v>
      </c>
      <c r="G5">
        <v>2024</v>
      </c>
      <c r="H5">
        <f>E10+B6-D10</f>
        <v>-10819304600.000008</v>
      </c>
      <c r="I5" s="9">
        <f>((E9-D9)/E9+D6/E9)</f>
        <v>-0.19058627627840405</v>
      </c>
      <c r="J5" s="10">
        <f>H5/E10</f>
        <v>-0.21497467405767709</v>
      </c>
    </row>
    <row r="6" spans="1:10" x14ac:dyDescent="0.35">
      <c r="A6">
        <v>2025</v>
      </c>
      <c r="B6">
        <v>2517000000</v>
      </c>
      <c r="C6">
        <v>239590000</v>
      </c>
      <c r="D6" s="9">
        <f t="shared" si="0"/>
        <v>10.505446804958471</v>
      </c>
    </row>
    <row r="8" spans="1:10" x14ac:dyDescent="0.35">
      <c r="B8" s="11">
        <v>44682</v>
      </c>
      <c r="C8" s="11">
        <v>45047</v>
      </c>
      <c r="D8" s="11">
        <v>45413</v>
      </c>
      <c r="E8" s="11">
        <v>45658</v>
      </c>
    </row>
    <row r="9" spans="1:10" x14ac:dyDescent="0.35">
      <c r="A9" s="2" t="s">
        <v>39</v>
      </c>
      <c r="B9" s="1">
        <v>197.09</v>
      </c>
      <c r="C9" s="1">
        <v>230.58</v>
      </c>
      <c r="D9" s="1">
        <v>260.60000000000002</v>
      </c>
      <c r="E9" s="1">
        <v>210.06</v>
      </c>
    </row>
    <row r="10" spans="1:10" x14ac:dyDescent="0.35">
      <c r="A10" s="2" t="s">
        <v>38</v>
      </c>
      <c r="B10" s="1">
        <f>B9*C3</f>
        <v>51203982000</v>
      </c>
      <c r="C10" s="1">
        <f>C9*C4</f>
        <v>57917084400</v>
      </c>
      <c r="D10" s="1">
        <f>D9*C5</f>
        <v>63664580000.000008</v>
      </c>
      <c r="E10" s="1">
        <f>E9*C6</f>
        <v>50328275400</v>
      </c>
    </row>
    <row r="12" spans="1:10" ht="18.5" x14ac:dyDescent="0.45">
      <c r="A12" s="23" t="s">
        <v>4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35">
      <c r="A13" s="2" t="s">
        <v>0</v>
      </c>
      <c r="B13" s="2" t="s">
        <v>40</v>
      </c>
      <c r="C13" s="2" t="s">
        <v>41</v>
      </c>
      <c r="D13" s="2" t="s">
        <v>42</v>
      </c>
      <c r="E13" s="2"/>
      <c r="F13" s="2"/>
      <c r="G13" s="2"/>
      <c r="H13" s="2"/>
      <c r="I13" s="2"/>
      <c r="J13" s="2"/>
    </row>
    <row r="14" spans="1:10" x14ac:dyDescent="0.35">
      <c r="A14">
        <v>2022</v>
      </c>
      <c r="B14">
        <v>8770000000</v>
      </c>
      <c r="C14">
        <f>B14/D14</f>
        <v>3.670141134875593</v>
      </c>
      <c r="D14">
        <v>2389553883</v>
      </c>
    </row>
    <row r="15" spans="1:10" x14ac:dyDescent="0.35">
      <c r="A15">
        <v>2023</v>
      </c>
      <c r="B15">
        <v>8999000000</v>
      </c>
      <c r="C15">
        <f t="shared" ref="C15:C17" si="1">B15/D15</f>
        <v>3.8174930561110005</v>
      </c>
      <c r="D15">
        <v>2357306187</v>
      </c>
    </row>
    <row r="16" spans="1:10" x14ac:dyDescent="0.35">
      <c r="A16">
        <v>2024</v>
      </c>
      <c r="B16">
        <v>9312000000</v>
      </c>
      <c r="C16">
        <f t="shared" si="1"/>
        <v>3.9557342009262095</v>
      </c>
      <c r="D16">
        <v>2354050987</v>
      </c>
    </row>
    <row r="17" spans="1:10" x14ac:dyDescent="0.35">
      <c r="A17">
        <v>2025</v>
      </c>
      <c r="B17">
        <v>7319000000</v>
      </c>
      <c r="C17">
        <f t="shared" si="1"/>
        <v>3.121718396966902</v>
      </c>
      <c r="D17">
        <v>2344542034</v>
      </c>
    </row>
    <row r="19" spans="1:10" x14ac:dyDescent="0.35">
      <c r="B19" s="17">
        <v>44682</v>
      </c>
      <c r="C19" s="17">
        <v>45047</v>
      </c>
      <c r="D19" s="17">
        <v>45413</v>
      </c>
      <c r="E19" s="17">
        <v>45778</v>
      </c>
      <c r="G19" s="2" t="s">
        <v>0</v>
      </c>
      <c r="H19" s="2" t="s">
        <v>33</v>
      </c>
      <c r="I19" s="2" t="s">
        <v>34</v>
      </c>
      <c r="J19" s="2" t="s">
        <v>35</v>
      </c>
    </row>
    <row r="20" spans="1:10" x14ac:dyDescent="0.35">
      <c r="A20" s="2" t="s">
        <v>43</v>
      </c>
      <c r="B20">
        <v>158.38</v>
      </c>
      <c r="C20">
        <v>156.57</v>
      </c>
      <c r="D20">
        <v>163.4</v>
      </c>
      <c r="E20">
        <v>159.97999999999999</v>
      </c>
      <c r="G20" s="8">
        <v>45047</v>
      </c>
      <c r="H20">
        <f>C21+B15-B21</f>
        <v>-375114290.95001221</v>
      </c>
      <c r="I20" s="9">
        <f>((C20-B20)/B20+C15/C20)</f>
        <v>1.2953810547078655E-2</v>
      </c>
      <c r="J20" s="10">
        <f>H20/C21</f>
        <v>-1.0163401029852446E-3</v>
      </c>
    </row>
    <row r="21" spans="1:10" x14ac:dyDescent="0.35">
      <c r="A21" s="2" t="s">
        <v>23</v>
      </c>
      <c r="B21" s="9">
        <f>B20*D14</f>
        <v>378457543989.53998</v>
      </c>
      <c r="C21" s="9">
        <f>C20*D15</f>
        <v>369083429698.58997</v>
      </c>
      <c r="D21" s="9">
        <f>D20*D16</f>
        <v>384651931275.79999</v>
      </c>
      <c r="E21" s="9">
        <f>E20*D17</f>
        <v>375079834599.31995</v>
      </c>
      <c r="G21" s="8">
        <v>45413</v>
      </c>
      <c r="H21">
        <f>D21+B16-C21</f>
        <v>24880501577.210022</v>
      </c>
      <c r="I21" s="9">
        <f>((D20-C20)/C20+C16/D20)</f>
        <v>6.7831560429172016E-2</v>
      </c>
      <c r="J21" s="10">
        <f>H21/D21</f>
        <v>6.4683157821896931E-2</v>
      </c>
    </row>
    <row r="22" spans="1:10" x14ac:dyDescent="0.35">
      <c r="G22" s="8">
        <v>45778</v>
      </c>
      <c r="H22" s="9">
        <f>E21+B17-D21</f>
        <v>-2253096676.4800415</v>
      </c>
      <c r="I22" s="9">
        <f>((E20-D20)/E20+C17/E20)</f>
        <v>-1.8644930805920383E-3</v>
      </c>
      <c r="J22" s="10">
        <f>H22/D21</f>
        <v>-5.8574947719800853E-3</v>
      </c>
    </row>
    <row r="28" spans="1:10" ht="18.5" x14ac:dyDescent="0.45">
      <c r="A28" s="23" t="s">
        <v>5</v>
      </c>
      <c r="B28" s="24"/>
      <c r="C28" s="24"/>
      <c r="D28" s="24"/>
      <c r="E28" s="24"/>
      <c r="F28" s="24"/>
      <c r="G28" s="24"/>
      <c r="H28" s="24"/>
      <c r="I28" s="24"/>
      <c r="J28" s="24"/>
    </row>
    <row r="29" spans="1:10" ht="18.5" x14ac:dyDescent="0.45">
      <c r="A29" s="2" t="s">
        <v>0</v>
      </c>
      <c r="B29" s="2" t="s">
        <v>40</v>
      </c>
      <c r="C29" s="2" t="s">
        <v>41</v>
      </c>
      <c r="D29" s="2" t="s">
        <v>42</v>
      </c>
      <c r="E29" s="12"/>
      <c r="F29" s="12"/>
      <c r="G29" s="12"/>
      <c r="H29" s="13"/>
      <c r="I29" s="12"/>
      <c r="J29" s="12"/>
    </row>
    <row r="30" spans="1:10" ht="15.5" x14ac:dyDescent="0.35">
      <c r="A30">
        <v>2022</v>
      </c>
      <c r="B30">
        <v>8983000000</v>
      </c>
      <c r="C30">
        <f>B30/D30</f>
        <v>1.5986618092644831</v>
      </c>
      <c r="D30">
        <v>5619074621</v>
      </c>
      <c r="E30" s="14"/>
      <c r="F30" s="14"/>
      <c r="G30" s="14"/>
      <c r="H30" s="15"/>
      <c r="I30" s="14"/>
      <c r="J30" s="14"/>
    </row>
    <row r="31" spans="1:10" ht="15.5" x14ac:dyDescent="0.35">
      <c r="A31">
        <v>2023</v>
      </c>
      <c r="B31">
        <v>9247000000</v>
      </c>
      <c r="C31">
        <f t="shared" ref="C31:C33" si="2">B31/D31</f>
        <v>1.6375708951250376</v>
      </c>
      <c r="D31">
        <v>5646778425</v>
      </c>
      <c r="E31" s="14"/>
      <c r="F31" s="14"/>
      <c r="G31" s="14"/>
      <c r="H31" s="15"/>
      <c r="I31" s="14"/>
      <c r="J31" s="14"/>
    </row>
    <row r="32" spans="1:10" ht="15.5" x14ac:dyDescent="0.35">
      <c r="A32">
        <v>2024</v>
      </c>
      <c r="B32">
        <v>9512000000</v>
      </c>
      <c r="C32">
        <f t="shared" si="2"/>
        <v>1.6783886806062609</v>
      </c>
      <c r="D32">
        <v>5667340414</v>
      </c>
      <c r="E32" s="14"/>
      <c r="F32" s="14"/>
      <c r="G32" s="14"/>
      <c r="H32" s="15"/>
      <c r="I32" s="14"/>
      <c r="J32" s="14"/>
    </row>
    <row r="33" spans="1:10" ht="15.5" x14ac:dyDescent="0.35">
      <c r="A33">
        <v>2025</v>
      </c>
      <c r="B33">
        <v>2437000000</v>
      </c>
      <c r="C33">
        <f t="shared" si="2"/>
        <v>0.42864437874890171</v>
      </c>
      <c r="D33">
        <v>5685365587</v>
      </c>
      <c r="E33" s="14"/>
      <c r="F33" s="14"/>
      <c r="G33" s="14"/>
      <c r="H33" s="15"/>
      <c r="I33" s="14"/>
      <c r="J33" s="14"/>
    </row>
    <row r="34" spans="1:10" ht="15.5" x14ac:dyDescent="0.35">
      <c r="A34" s="14"/>
      <c r="B34" s="14"/>
      <c r="C34" s="14"/>
      <c r="D34" s="16"/>
      <c r="E34" s="14"/>
      <c r="F34" s="14"/>
      <c r="G34" s="14"/>
      <c r="H34" s="15"/>
      <c r="I34" s="14"/>
      <c r="J34" s="14"/>
    </row>
    <row r="35" spans="1:10" ht="15.5" x14ac:dyDescent="0.35">
      <c r="A35" s="14"/>
      <c r="B35" s="17">
        <v>44683</v>
      </c>
      <c r="C35" s="17">
        <v>45047</v>
      </c>
      <c r="D35" s="17">
        <v>45413</v>
      </c>
      <c r="E35" s="17">
        <v>45778</v>
      </c>
      <c r="F35" s="14"/>
      <c r="G35" s="2" t="s">
        <v>0</v>
      </c>
      <c r="H35" s="2" t="s">
        <v>33</v>
      </c>
      <c r="I35" s="2" t="s">
        <v>34</v>
      </c>
      <c r="J35" s="2" t="s">
        <v>35</v>
      </c>
    </row>
    <row r="36" spans="1:10" x14ac:dyDescent="0.35">
      <c r="A36" s="2" t="s">
        <v>43</v>
      </c>
      <c r="B36">
        <v>48.34</v>
      </c>
      <c r="C36">
        <v>39.21</v>
      </c>
      <c r="D36">
        <v>27.18</v>
      </c>
      <c r="E36">
        <v>23.93</v>
      </c>
      <c r="G36" s="8">
        <v>45047</v>
      </c>
      <c r="H36">
        <f>C37+B31-B37</f>
        <v>-40968885134.890015</v>
      </c>
      <c r="I36" s="9">
        <f>((C36-B36)/B36+C31/C36)</f>
        <v>-0.14710638699844042</v>
      </c>
      <c r="J36" s="10">
        <f>H36/C37</f>
        <v>-0.18503613861218979</v>
      </c>
    </row>
    <row r="37" spans="1:10" x14ac:dyDescent="0.35">
      <c r="A37" s="2" t="s">
        <v>23</v>
      </c>
      <c r="B37" s="9">
        <f>B36*D30</f>
        <v>271626067179.14001</v>
      </c>
      <c r="C37" s="9">
        <f>C36*D31</f>
        <v>221410182044.25</v>
      </c>
      <c r="D37" s="9">
        <f>D36*D32</f>
        <v>154038312452.51999</v>
      </c>
      <c r="E37" s="9">
        <f>D33*E36</f>
        <v>136050798496.91</v>
      </c>
      <c r="F37" s="9"/>
      <c r="G37" s="8">
        <v>45413</v>
      </c>
      <c r="H37">
        <f>D37+B32-C37</f>
        <v>-57859869591.730011</v>
      </c>
      <c r="I37" s="9">
        <f>((D36-C36)/C36+C32/D36)</f>
        <v>-0.24505861612451935</v>
      </c>
      <c r="J37" s="10">
        <f>H37/D37</f>
        <v>-0.37561999135484203</v>
      </c>
    </row>
    <row r="38" spans="1:10" ht="15.5" x14ac:dyDescent="0.35">
      <c r="A38" s="14"/>
      <c r="B38" s="14"/>
      <c r="C38" s="14"/>
      <c r="D38" s="16"/>
      <c r="E38" s="14"/>
      <c r="F38" s="14"/>
      <c r="G38" s="8">
        <v>45778</v>
      </c>
      <c r="H38" s="9">
        <f>E37+B33-D37</f>
        <v>-15550513955.609985</v>
      </c>
      <c r="I38" s="9">
        <f>((E36-D36)/E36+C33/E36)</f>
        <v>-0.11790036026958205</v>
      </c>
      <c r="J38" s="10">
        <f>H38/E37</f>
        <v>-0.11429932148441724</v>
      </c>
    </row>
    <row r="39" spans="1:10" ht="15.5" x14ac:dyDescent="0.35">
      <c r="A39" s="14"/>
      <c r="B39" s="14"/>
      <c r="C39" s="14"/>
      <c r="D39" s="16"/>
      <c r="E39" s="14"/>
      <c r="F39" s="14"/>
      <c r="G39" s="14"/>
      <c r="H39" s="15"/>
      <c r="I39" s="14"/>
      <c r="J39" s="14"/>
    </row>
    <row r="40" spans="1:10" ht="18.5" x14ac:dyDescent="0.45">
      <c r="A40" s="23" t="s">
        <v>8</v>
      </c>
      <c r="B40" s="24"/>
      <c r="C40" s="24"/>
      <c r="D40" s="24"/>
      <c r="E40" s="24"/>
      <c r="F40" s="24"/>
      <c r="G40" s="24"/>
      <c r="H40" s="24"/>
      <c r="I40" s="24"/>
      <c r="J40" s="24"/>
    </row>
    <row r="41" spans="1:10" ht="18.5" x14ac:dyDescent="0.45">
      <c r="A41" s="2" t="s">
        <v>0</v>
      </c>
      <c r="B41" s="2" t="s">
        <v>40</v>
      </c>
      <c r="C41" s="2" t="s">
        <v>41</v>
      </c>
      <c r="D41" s="2" t="s">
        <v>42</v>
      </c>
      <c r="E41" s="12"/>
      <c r="F41" s="12"/>
      <c r="G41" s="12"/>
      <c r="H41" s="13"/>
      <c r="I41" s="12"/>
      <c r="J41" s="12"/>
    </row>
    <row r="42" spans="1:10" ht="15.5" x14ac:dyDescent="0.35">
      <c r="A42">
        <v>2022</v>
      </c>
      <c r="B42">
        <v>1313000000</v>
      </c>
      <c r="C42">
        <f>B42/D42</f>
        <v>4.4025351265888286</v>
      </c>
      <c r="D42">
        <v>298237257</v>
      </c>
      <c r="E42" s="14"/>
      <c r="F42" s="14"/>
      <c r="G42" s="14"/>
      <c r="H42" s="15"/>
      <c r="I42" s="14"/>
      <c r="J42" s="14"/>
    </row>
    <row r="43" spans="1:10" ht="15.5" x14ac:dyDescent="0.35">
      <c r="A43">
        <v>2023</v>
      </c>
      <c r="B43">
        <v>1427000000</v>
      </c>
      <c r="C43">
        <f t="shared" ref="C43:C45" si="3">B43/D43</f>
        <v>5.0917833738265106</v>
      </c>
      <c r="D43">
        <v>280255442</v>
      </c>
      <c r="E43" s="14"/>
      <c r="F43" s="14"/>
      <c r="G43" s="14"/>
      <c r="H43" s="15"/>
      <c r="I43" s="14"/>
      <c r="J43" s="14"/>
    </row>
    <row r="44" spans="1:10" ht="15.5" x14ac:dyDescent="0.35">
      <c r="A44">
        <v>2024</v>
      </c>
      <c r="B44">
        <v>1605000000</v>
      </c>
      <c r="C44">
        <f t="shared" si="3"/>
        <v>5.9099634848211258</v>
      </c>
      <c r="D44">
        <v>271575282</v>
      </c>
      <c r="E44" s="14"/>
      <c r="F44" s="14"/>
      <c r="G44" s="14"/>
      <c r="H44" s="15"/>
      <c r="I44" s="14"/>
      <c r="J44" s="14"/>
    </row>
    <row r="45" spans="1:10" ht="15.5" x14ac:dyDescent="0.35">
      <c r="A45">
        <v>2025</v>
      </c>
      <c r="B45">
        <v>403000000</v>
      </c>
      <c r="C45">
        <f t="shared" si="3"/>
        <v>1.4848169526687554</v>
      </c>
      <c r="D45">
        <v>271413927</v>
      </c>
      <c r="E45" s="14"/>
      <c r="F45" s="14"/>
      <c r="G45" s="14"/>
      <c r="H45" s="15"/>
      <c r="I45" s="14"/>
      <c r="J45" s="14"/>
    </row>
    <row r="46" spans="1:10" ht="15.5" x14ac:dyDescent="0.35">
      <c r="A46" s="14"/>
      <c r="B46" s="14"/>
      <c r="C46" s="14"/>
      <c r="D46" s="16"/>
      <c r="E46" s="14"/>
      <c r="F46" s="14"/>
      <c r="G46" s="14"/>
      <c r="H46" s="15"/>
      <c r="I46" s="14"/>
      <c r="J46" s="14"/>
    </row>
    <row r="47" spans="1:10" ht="15.5" x14ac:dyDescent="0.35">
      <c r="A47" s="14"/>
      <c r="B47" s="17">
        <v>44683</v>
      </c>
      <c r="C47" s="17">
        <v>45047</v>
      </c>
      <c r="D47" s="17">
        <v>45413</v>
      </c>
      <c r="E47" s="17">
        <v>45778</v>
      </c>
      <c r="F47" s="14"/>
      <c r="G47" s="2" t="s">
        <v>0</v>
      </c>
      <c r="H47" s="2" t="s">
        <v>33</v>
      </c>
      <c r="I47" s="2" t="s">
        <v>34</v>
      </c>
      <c r="J47" s="2" t="s">
        <v>35</v>
      </c>
    </row>
    <row r="48" spans="1:10" x14ac:dyDescent="0.35">
      <c r="A48" s="2" t="s">
        <v>43</v>
      </c>
      <c r="B48">
        <v>381.23</v>
      </c>
      <c r="C48">
        <v>382.12</v>
      </c>
      <c r="D48">
        <v>387.5</v>
      </c>
      <c r="E48">
        <v>480.02</v>
      </c>
      <c r="G48" s="8">
        <v>45047</v>
      </c>
      <c r="H48">
        <f>C49+B43-B49</f>
        <v>-5178779989.0699921</v>
      </c>
      <c r="I48" s="9">
        <f>((C48-B48)/B48+C43/C48)</f>
        <v>1.5659638653217296E-2</v>
      </c>
      <c r="J48" s="10">
        <f>H48/C49</f>
        <v>-4.8358590900153507E-2</v>
      </c>
    </row>
    <row r="49" spans="1:10" x14ac:dyDescent="0.35">
      <c r="A49" s="2" t="s">
        <v>23</v>
      </c>
      <c r="B49" s="9">
        <f>B48*D42</f>
        <v>113696989486.11</v>
      </c>
      <c r="C49" s="9">
        <f>C48*D43</f>
        <v>107091209497.04001</v>
      </c>
      <c r="D49" s="9">
        <f>D48*D44</f>
        <v>105235421775</v>
      </c>
      <c r="E49" s="9">
        <f>D45*E48</f>
        <v>130284113238.53999</v>
      </c>
      <c r="F49" s="9"/>
      <c r="G49" s="8">
        <v>45413</v>
      </c>
      <c r="H49">
        <f>D49+B44-C49</f>
        <v>-250787722.04000854</v>
      </c>
      <c r="I49" s="9">
        <f>((D48-C48)/C48+C44/D48)</f>
        <v>2.9330865472557831E-2</v>
      </c>
      <c r="J49" s="10">
        <f>H49/D49</f>
        <v>-2.3831112928516464E-3</v>
      </c>
    </row>
    <row r="50" spans="1:10" ht="15.5" x14ac:dyDescent="0.35">
      <c r="A50" s="14"/>
      <c r="B50" s="14"/>
      <c r="C50" s="14"/>
      <c r="D50" s="16"/>
      <c r="E50" s="14"/>
      <c r="F50" s="14"/>
      <c r="G50" s="8">
        <v>45778</v>
      </c>
      <c r="H50" s="9">
        <f>E49+B45-D49</f>
        <v>25451691463.539993</v>
      </c>
      <c r="I50" s="9">
        <f>((E48-D48)/E48+C45/E48)</f>
        <v>0.1958352088510244</v>
      </c>
      <c r="J50" s="10">
        <f>H50/E49</f>
        <v>0.195355295675536</v>
      </c>
    </row>
    <row r="51" spans="1:10" ht="15.5" x14ac:dyDescent="0.35">
      <c r="A51" s="14"/>
      <c r="B51" s="14"/>
      <c r="C51" s="14"/>
      <c r="D51" s="16"/>
      <c r="E51" s="14"/>
      <c r="F51" s="14"/>
      <c r="G51" s="14"/>
      <c r="H51" s="15"/>
      <c r="I51" s="14"/>
      <c r="J51" s="14"/>
    </row>
    <row r="53" spans="1:10" ht="18.5" x14ac:dyDescent="0.45">
      <c r="A53" s="23" t="s">
        <v>6</v>
      </c>
      <c r="B53" s="24"/>
      <c r="C53" s="24"/>
      <c r="D53" s="24"/>
      <c r="E53" s="24"/>
      <c r="F53" s="24"/>
      <c r="G53" s="24"/>
      <c r="H53" s="24"/>
      <c r="I53" s="24"/>
      <c r="J53" s="24"/>
    </row>
    <row r="54" spans="1:10" ht="18.5" x14ac:dyDescent="0.45">
      <c r="A54" s="2" t="s">
        <v>0</v>
      </c>
      <c r="B54" s="2" t="s">
        <v>40</v>
      </c>
      <c r="C54" s="2" t="s">
        <v>41</v>
      </c>
      <c r="D54" s="2" t="s">
        <v>42</v>
      </c>
      <c r="E54" s="12"/>
      <c r="F54" s="12"/>
      <c r="G54" s="12"/>
      <c r="H54" s="13"/>
      <c r="I54" s="12"/>
      <c r="J54" s="12"/>
    </row>
    <row r="55" spans="1:10" ht="15.5" x14ac:dyDescent="0.35">
      <c r="A55">
        <v>2022</v>
      </c>
      <c r="B55">
        <v>3467000000</v>
      </c>
      <c r="C55">
        <f>B55/D55</f>
        <v>0.84892262487757097</v>
      </c>
      <c r="D55">
        <v>4084000000</v>
      </c>
      <c r="E55" s="14"/>
      <c r="F55" s="14"/>
      <c r="G55" s="14"/>
      <c r="H55" s="15"/>
      <c r="I55" s="14"/>
      <c r="J55" s="14"/>
    </row>
    <row r="56" spans="1:10" ht="15.5" x14ac:dyDescent="0.35">
      <c r="A56">
        <v>2023</v>
      </c>
      <c r="B56">
        <v>2247000000</v>
      </c>
      <c r="C56">
        <f t="shared" ref="C56:C58" si="4">B56/D56</f>
        <v>0.54658234006324491</v>
      </c>
      <c r="D56">
        <v>4111000000</v>
      </c>
      <c r="E56" s="14"/>
      <c r="F56" s="14"/>
      <c r="G56" s="14"/>
      <c r="H56" s="15"/>
      <c r="I56" s="14"/>
      <c r="J56" s="14"/>
    </row>
    <row r="57" spans="1:10" ht="15.5" x14ac:dyDescent="0.35">
      <c r="A57">
        <v>2024</v>
      </c>
      <c r="B57">
        <v>2444000000</v>
      </c>
      <c r="C57">
        <f t="shared" si="4"/>
        <v>0.59005311443746977</v>
      </c>
      <c r="D57">
        <v>4142000000</v>
      </c>
      <c r="E57" s="14"/>
      <c r="F57" s="14"/>
      <c r="G57" s="14"/>
      <c r="H57" s="15"/>
      <c r="I57" s="14"/>
      <c r="J57" s="14"/>
    </row>
    <row r="58" spans="1:10" ht="15.5" x14ac:dyDescent="0.35">
      <c r="A58">
        <v>2025</v>
      </c>
      <c r="B58">
        <v>612000000</v>
      </c>
      <c r="C58">
        <f t="shared" si="4"/>
        <v>0.30022075055187636</v>
      </c>
      <c r="D58">
        <v>2038500000</v>
      </c>
      <c r="E58" s="14"/>
      <c r="F58" s="14"/>
      <c r="G58" s="14"/>
      <c r="H58" s="15"/>
      <c r="I58" s="14"/>
      <c r="J58" s="14"/>
    </row>
    <row r="59" spans="1:10" ht="15.5" x14ac:dyDescent="0.35">
      <c r="A59" s="14"/>
      <c r="B59" s="14"/>
      <c r="C59" s="14"/>
      <c r="D59" s="16"/>
      <c r="E59" s="14"/>
      <c r="F59" s="14"/>
      <c r="G59" s="14"/>
      <c r="H59" s="15"/>
      <c r="I59" s="14"/>
      <c r="J59" s="14"/>
    </row>
    <row r="60" spans="1:10" ht="15.5" x14ac:dyDescent="0.35">
      <c r="A60" s="14"/>
      <c r="B60" s="17">
        <v>44683</v>
      </c>
      <c r="C60" s="17">
        <v>45047</v>
      </c>
      <c r="D60" s="17">
        <v>45413</v>
      </c>
      <c r="E60" s="17">
        <v>45778</v>
      </c>
      <c r="F60" s="14"/>
      <c r="G60" s="2" t="s">
        <v>0</v>
      </c>
      <c r="H60" s="2" t="s">
        <v>33</v>
      </c>
      <c r="I60" s="2" t="s">
        <v>34</v>
      </c>
      <c r="J60" s="2" t="s">
        <v>35</v>
      </c>
    </row>
    <row r="61" spans="1:10" x14ac:dyDescent="0.35">
      <c r="A61" s="2" t="s">
        <v>43</v>
      </c>
      <c r="B61">
        <v>18.079999999999998</v>
      </c>
      <c r="C61">
        <v>14.7</v>
      </c>
      <c r="D61">
        <v>17.329999999999998</v>
      </c>
      <c r="E61">
        <v>14.48</v>
      </c>
      <c r="G61" s="8">
        <v>45047</v>
      </c>
      <c r="H61">
        <f>C62+B56-B62</f>
        <v>-11160020000</v>
      </c>
      <c r="I61" s="9">
        <f>((C61-B61)/B61+C56/C61)</f>
        <v>-0.14976443054172128</v>
      </c>
      <c r="J61" s="10">
        <f>H61/C62</f>
        <v>-0.18467162102009377</v>
      </c>
    </row>
    <row r="62" spans="1:10" x14ac:dyDescent="0.35">
      <c r="A62" s="2" t="s">
        <v>23</v>
      </c>
      <c r="B62" s="9">
        <f>B61*D55</f>
        <v>73838720000</v>
      </c>
      <c r="C62" s="9">
        <f>C61*D56</f>
        <v>60431700000</v>
      </c>
      <c r="D62" s="9">
        <f>D61*D57</f>
        <v>71780860000</v>
      </c>
      <c r="E62" s="9">
        <f>D58*E61</f>
        <v>29517480000</v>
      </c>
      <c r="F62" s="9"/>
      <c r="G62" s="8">
        <v>45413</v>
      </c>
      <c r="H62">
        <f>D62+B57-C62</f>
        <v>13793160000</v>
      </c>
      <c r="I62" s="9">
        <f>((D61-C61)/C61+C57/D61)</f>
        <v>0.21295963816523111</v>
      </c>
      <c r="J62" s="10">
        <f>H62/D62</f>
        <v>0.19215651637497796</v>
      </c>
    </row>
    <row r="63" spans="1:10" ht="15.5" x14ac:dyDescent="0.35">
      <c r="A63" s="14"/>
      <c r="B63" s="14"/>
      <c r="C63" s="14"/>
      <c r="D63" s="16"/>
      <c r="E63" s="14"/>
      <c r="F63" s="14"/>
      <c r="G63" s="8">
        <v>45778</v>
      </c>
      <c r="H63" s="9">
        <f>E62+B58-D62</f>
        <v>-41651380000</v>
      </c>
      <c r="I63" s="9">
        <f>((E61-D61)/E61+C58/E61)</f>
        <v>-0.17608972717183158</v>
      </c>
      <c r="J63" s="10">
        <f>H63/E62</f>
        <v>-1.4110750646735426</v>
      </c>
    </row>
    <row r="64" spans="1:10" ht="15.5" x14ac:dyDescent="0.35">
      <c r="A64" s="14"/>
      <c r="B64" s="14"/>
      <c r="C64" s="14"/>
      <c r="D64" s="16"/>
      <c r="E64" s="14"/>
      <c r="F64" s="14"/>
      <c r="G64" s="14"/>
      <c r="H64" s="15"/>
      <c r="I64" s="14"/>
      <c r="J64" s="14"/>
    </row>
    <row r="66" spans="1:10" ht="18.5" x14ac:dyDescent="0.45">
      <c r="A66" s="23" t="s">
        <v>7</v>
      </c>
      <c r="B66" s="24"/>
      <c r="C66" s="24"/>
      <c r="D66" s="24"/>
      <c r="E66" s="24"/>
      <c r="F66" s="24"/>
      <c r="G66" s="24"/>
      <c r="H66" s="24"/>
      <c r="I66" s="24"/>
      <c r="J66" s="24"/>
    </row>
    <row r="67" spans="1:10" ht="18.5" x14ac:dyDescent="0.45">
      <c r="A67" s="2" t="s">
        <v>0</v>
      </c>
      <c r="B67" s="2" t="s">
        <v>40</v>
      </c>
      <c r="C67" s="2" t="s">
        <v>41</v>
      </c>
      <c r="D67" s="2" t="s">
        <v>42</v>
      </c>
      <c r="E67" s="12"/>
      <c r="F67" s="12"/>
      <c r="G67" s="12"/>
      <c r="H67" s="13"/>
      <c r="I67" s="12"/>
      <c r="J67" s="12"/>
    </row>
    <row r="68" spans="1:10" ht="15.5" x14ac:dyDescent="0.35">
      <c r="A68">
        <v>2022</v>
      </c>
      <c r="B68">
        <v>6172000000</v>
      </c>
      <c r="C68">
        <f>B68/D68</f>
        <v>4.4813898003202199</v>
      </c>
      <c r="D68">
        <v>1377251316</v>
      </c>
      <c r="E68" s="14"/>
      <c r="F68" s="14"/>
      <c r="G68" s="14"/>
      <c r="H68" s="15"/>
      <c r="I68" s="14"/>
      <c r="J68" s="14"/>
    </row>
    <row r="69" spans="1:10" ht="15.5" x14ac:dyDescent="0.35">
      <c r="A69">
        <v>2023</v>
      </c>
      <c r="B69">
        <v>6682000000</v>
      </c>
      <c r="C69">
        <f t="shared" ref="C69:C71" si="5">B69/D69</f>
        <v>4.8616543178961447</v>
      </c>
      <c r="D69">
        <v>1374429271</v>
      </c>
      <c r="E69" s="14"/>
      <c r="F69" s="14"/>
      <c r="G69" s="14"/>
      <c r="H69" s="15"/>
      <c r="I69" s="14"/>
      <c r="J69" s="14"/>
    </row>
    <row r="70" spans="1:10" ht="15.5" x14ac:dyDescent="0.35">
      <c r="A70">
        <v>2024</v>
      </c>
      <c r="B70">
        <v>7229000000</v>
      </c>
      <c r="C70">
        <f t="shared" si="5"/>
        <v>5.2708719313753214</v>
      </c>
      <c r="D70">
        <v>1371499838</v>
      </c>
      <c r="E70" s="14"/>
      <c r="F70" s="14"/>
      <c r="G70" s="14"/>
      <c r="H70" s="15"/>
      <c r="I70" s="14"/>
      <c r="J70" s="14"/>
    </row>
    <row r="71" spans="1:10" ht="15.5" x14ac:dyDescent="0.35">
      <c r="A71">
        <v>2025</v>
      </c>
      <c r="B71">
        <v>1822000000</v>
      </c>
      <c r="C71">
        <f t="shared" si="5"/>
        <v>1.328879869361919</v>
      </c>
      <c r="D71">
        <v>1371079540</v>
      </c>
      <c r="E71" s="14"/>
      <c r="F71" s="14"/>
      <c r="G71" s="14"/>
      <c r="H71" s="15"/>
      <c r="I71" s="14"/>
      <c r="J71" s="14"/>
    </row>
    <row r="72" spans="1:10" ht="15.5" x14ac:dyDescent="0.35">
      <c r="A72" s="14"/>
      <c r="B72" s="14"/>
      <c r="C72" s="14"/>
      <c r="D72" s="16"/>
      <c r="E72" s="14"/>
      <c r="F72" s="14"/>
      <c r="G72" s="14"/>
      <c r="H72" s="15"/>
      <c r="I72" s="14"/>
      <c r="J72" s="14"/>
    </row>
    <row r="73" spans="1:10" ht="15.5" x14ac:dyDescent="0.35">
      <c r="A73" s="14"/>
      <c r="B73" s="17">
        <v>44683</v>
      </c>
      <c r="C73" s="17">
        <v>45047</v>
      </c>
      <c r="D73" s="17">
        <v>45413</v>
      </c>
      <c r="E73" s="17">
        <v>45778</v>
      </c>
      <c r="F73" s="14"/>
      <c r="G73" s="2" t="s">
        <v>0</v>
      </c>
      <c r="H73" s="2" t="s">
        <v>33</v>
      </c>
      <c r="I73" s="2" t="s">
        <v>34</v>
      </c>
      <c r="J73" s="2" t="s">
        <v>35</v>
      </c>
    </row>
    <row r="74" spans="1:10" x14ac:dyDescent="0.35">
      <c r="A74" s="2" t="s">
        <v>43</v>
      </c>
      <c r="B74">
        <v>167.76</v>
      </c>
      <c r="C74">
        <v>191.68</v>
      </c>
      <c r="D74">
        <v>175.15</v>
      </c>
      <c r="E74">
        <v>133.55000000000001</v>
      </c>
      <c r="G74" s="8">
        <v>45047</v>
      </c>
      <c r="H74">
        <f>C75+B69-B75</f>
        <v>39084921893.120026</v>
      </c>
      <c r="I74" s="9">
        <f>((C74-B74)/B74+C69/C74)</f>
        <v>0.16794803328386551</v>
      </c>
      <c r="J74" s="10">
        <f>H74/C75</f>
        <v>0.14835768640384669</v>
      </c>
    </row>
    <row r="75" spans="1:10" x14ac:dyDescent="0.35">
      <c r="A75" s="2" t="s">
        <v>23</v>
      </c>
      <c r="B75" s="9">
        <f>B74*D68</f>
        <v>231047680772.15997</v>
      </c>
      <c r="C75" s="9">
        <f>C74*D69</f>
        <v>263450602665.28</v>
      </c>
      <c r="D75" s="9">
        <f>D74*D70</f>
        <v>240218196625.70001</v>
      </c>
      <c r="E75" s="9">
        <f>D71*E74</f>
        <v>183107672567.00003</v>
      </c>
      <c r="F75" s="9"/>
      <c r="G75" s="8">
        <v>45413</v>
      </c>
      <c r="H75">
        <f>D75+B70-C75</f>
        <v>-16003406039.579987</v>
      </c>
      <c r="I75" s="9">
        <f>((D74-C74)/C74+C70/D74)</f>
        <v>-5.6144005358690241E-2</v>
      </c>
      <c r="J75" s="10">
        <f>H75/D75</f>
        <v>-6.6620290487468606E-2</v>
      </c>
    </row>
    <row r="76" spans="1:10" ht="15.5" x14ac:dyDescent="0.35">
      <c r="A76" s="14"/>
      <c r="B76" s="14"/>
      <c r="C76" s="14"/>
      <c r="D76" s="16"/>
      <c r="E76" s="14"/>
      <c r="F76" s="14"/>
      <c r="G76" s="8">
        <v>45778</v>
      </c>
      <c r="H76" s="9">
        <f>E75+B71-D75</f>
        <v>-55288524058.699982</v>
      </c>
      <c r="I76" s="9">
        <f>((E74-D74)/E74+C71/E74)</f>
        <v>-0.30154339296621546</v>
      </c>
      <c r="J76" s="10">
        <f>H76/E75</f>
        <v>-0.30194542524409856</v>
      </c>
    </row>
    <row r="77" spans="1:10" ht="18.5" x14ac:dyDescent="0.45">
      <c r="A77" s="25"/>
      <c r="B77" s="26"/>
      <c r="C77" s="26"/>
      <c r="D77" s="26"/>
      <c r="E77" s="26"/>
      <c r="F77" s="26"/>
      <c r="G77" s="26"/>
      <c r="H77" s="26"/>
      <c r="I77" s="26"/>
      <c r="J77" s="26"/>
    </row>
  </sheetData>
  <mergeCells count="7">
    <mergeCell ref="A66:J66"/>
    <mergeCell ref="A77:J77"/>
    <mergeCell ref="A1:J1"/>
    <mergeCell ref="A12:J12"/>
    <mergeCell ref="A28:J28"/>
    <mergeCell ref="A40:J40"/>
    <mergeCell ref="A53:J53"/>
  </mergeCells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88B4-25EF-4015-B4B1-56859C5AED53}">
  <dimension ref="A1:P8"/>
  <sheetViews>
    <sheetView tabSelected="1" zoomScale="94" workbookViewId="0">
      <selection activeCell="K8" sqref="K8"/>
    </sheetView>
  </sheetViews>
  <sheetFormatPr defaultColWidth="8.90625" defaultRowHeight="14.5" x14ac:dyDescent="0.35"/>
  <cols>
    <col min="1" max="1" width="11.90625" style="3" customWidth="1"/>
    <col min="2" max="2" width="16.08984375" style="3" customWidth="1"/>
    <col min="3" max="3" width="33.1796875" style="3" customWidth="1"/>
    <col min="4" max="4" width="24.36328125" style="3" customWidth="1"/>
    <col min="5" max="5" width="14.81640625" style="3" customWidth="1"/>
    <col min="6" max="6" width="13.08984375" style="3" customWidth="1"/>
    <col min="7" max="7" width="34.90625" style="3" customWidth="1"/>
    <col min="8" max="8" width="25.54296875" style="3" customWidth="1"/>
    <col min="9" max="9" width="23.6328125" style="3" customWidth="1"/>
    <col min="10" max="16384" width="8.90625" style="3"/>
  </cols>
  <sheetData>
    <row r="1" spans="1:16" x14ac:dyDescent="0.35">
      <c r="A1" s="29" t="s">
        <v>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s="5" customFormat="1" x14ac:dyDescent="0.35">
      <c r="A2" s="5" t="s">
        <v>2</v>
      </c>
      <c r="B2" s="5" t="s">
        <v>25</v>
      </c>
      <c r="C2" s="5" t="s">
        <v>26</v>
      </c>
      <c r="D2" s="5" t="s">
        <v>27</v>
      </c>
      <c r="E2" s="5" t="s">
        <v>18</v>
      </c>
      <c r="F2" s="5" t="s">
        <v>19</v>
      </c>
      <c r="G2" s="5" t="s">
        <v>28</v>
      </c>
      <c r="H2" s="5" t="s">
        <v>29</v>
      </c>
      <c r="I2" s="5" t="s">
        <v>30</v>
      </c>
      <c r="J2" s="5" t="s">
        <v>24</v>
      </c>
    </row>
    <row r="3" spans="1:16" x14ac:dyDescent="0.35">
      <c r="A3" s="7" t="s">
        <v>3</v>
      </c>
      <c r="B3" s="3">
        <v>218.81</v>
      </c>
      <c r="C3" s="3">
        <v>239.6</v>
      </c>
      <c r="D3" s="3">
        <v>52430</v>
      </c>
      <c r="E3" s="3">
        <v>59425</v>
      </c>
      <c r="F3" s="3">
        <v>27582</v>
      </c>
      <c r="G3" s="3">
        <v>13355</v>
      </c>
      <c r="H3" s="3">
        <f>E3+F3-G3</f>
        <v>73652</v>
      </c>
      <c r="I3" s="3">
        <f>D3+E3-H3</f>
        <v>38203</v>
      </c>
      <c r="J3" s="6">
        <f>I3/H3</f>
        <v>0.51869602997881936</v>
      </c>
    </row>
    <row r="4" spans="1:16" x14ac:dyDescent="0.35">
      <c r="A4" s="7" t="s">
        <v>4</v>
      </c>
      <c r="B4" s="3">
        <v>165.03</v>
      </c>
      <c r="C4" s="3">
        <v>2340</v>
      </c>
      <c r="D4" s="3">
        <v>386920</v>
      </c>
      <c r="E4" s="3">
        <v>71811</v>
      </c>
      <c r="F4" s="3">
        <v>50559</v>
      </c>
      <c r="G4" s="3">
        <v>26436</v>
      </c>
      <c r="H4" s="3">
        <f>E4+F4-G4</f>
        <v>95934</v>
      </c>
      <c r="I4" s="3">
        <f>D4+E4-H4</f>
        <v>362797</v>
      </c>
      <c r="J4" s="6">
        <f>I4/H4</f>
        <v>3.7817353597264787</v>
      </c>
    </row>
    <row r="5" spans="1:16" x14ac:dyDescent="0.35">
      <c r="A5" s="7" t="s">
        <v>6</v>
      </c>
      <c r="B5" s="3">
        <v>38.92</v>
      </c>
      <c r="C5" s="3">
        <v>2030</v>
      </c>
      <c r="D5" s="3">
        <v>76860</v>
      </c>
      <c r="E5" s="3">
        <v>46377</v>
      </c>
      <c r="F5" s="3">
        <v>13086</v>
      </c>
      <c r="G5" s="3">
        <v>19348</v>
      </c>
      <c r="H5" s="3">
        <f t="shared" ref="H5:H8" si="0">E5+F5-G5</f>
        <v>40115</v>
      </c>
      <c r="I5" s="3">
        <f t="shared" ref="I5:I8" si="1">D5+E5-H5</f>
        <v>83122</v>
      </c>
      <c r="J5" s="6">
        <f t="shared" ref="J5:J8" si="2">I5/H5</f>
        <v>2.0720927333914996</v>
      </c>
    </row>
    <row r="6" spans="1:16" x14ac:dyDescent="0.35">
      <c r="A6" s="7" t="s">
        <v>8</v>
      </c>
      <c r="B6" s="3">
        <v>5151.6499999999996</v>
      </c>
      <c r="C6" s="3">
        <v>271.41000000000003</v>
      </c>
      <c r="D6" s="3">
        <v>139950</v>
      </c>
      <c r="E6" s="3">
        <v>84395</v>
      </c>
      <c r="F6" s="3">
        <v>22843</v>
      </c>
      <c r="G6" s="3">
        <v>19202</v>
      </c>
      <c r="H6" s="3">
        <f t="shared" si="0"/>
        <v>88036</v>
      </c>
      <c r="I6" s="3">
        <f t="shared" si="1"/>
        <v>136309</v>
      </c>
      <c r="J6" s="6">
        <f t="shared" si="2"/>
        <v>1.5483325003407697</v>
      </c>
    </row>
    <row r="7" spans="1:16" x14ac:dyDescent="0.35">
      <c r="A7" s="7" t="s">
        <v>5</v>
      </c>
      <c r="B7" s="3">
        <v>23.04</v>
      </c>
      <c r="C7" s="3">
        <v>5690</v>
      </c>
      <c r="D7" s="3">
        <v>130990</v>
      </c>
      <c r="E7" s="3">
        <v>124899</v>
      </c>
      <c r="F7" s="3">
        <v>88203</v>
      </c>
      <c r="G7" s="3">
        <v>36049</v>
      </c>
      <c r="H7" s="3">
        <f t="shared" si="0"/>
        <v>177053</v>
      </c>
      <c r="I7" s="3">
        <f t="shared" si="1"/>
        <v>78836</v>
      </c>
      <c r="J7" s="6">
        <f t="shared" si="2"/>
        <v>0.44526780116688225</v>
      </c>
    </row>
    <row r="8" spans="1:16" x14ac:dyDescent="0.35">
      <c r="A8" s="7" t="s">
        <v>7</v>
      </c>
      <c r="B8" s="3">
        <v>130.12</v>
      </c>
      <c r="C8" s="3">
        <v>1370</v>
      </c>
      <c r="D8" s="3">
        <v>178400</v>
      </c>
      <c r="E8" s="3">
        <v>81296</v>
      </c>
      <c r="F8" s="3">
        <v>18171</v>
      </c>
      <c r="G8" s="3">
        <v>24454</v>
      </c>
      <c r="H8" s="3">
        <f t="shared" si="0"/>
        <v>75013</v>
      </c>
      <c r="I8" s="3">
        <f t="shared" si="1"/>
        <v>184683</v>
      </c>
      <c r="J8" s="6">
        <f t="shared" si="2"/>
        <v>2.4620132510364869</v>
      </c>
    </row>
  </sheetData>
  <mergeCells count="1">
    <mergeCell ref="A1:P1"/>
  </mergeCells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ROC &amp; ROCE</vt:lpstr>
      <vt:lpstr>TSR</vt:lpstr>
      <vt:lpstr>MVA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Bishakha Nihalani</dc:creator>
  <cp:lastModifiedBy>bishakha.nihalani@basf.com</cp:lastModifiedBy>
  <dcterms:created xsi:type="dcterms:W3CDTF">2025-05-22T11:01:12Z</dcterms:created>
  <dcterms:modified xsi:type="dcterms:W3CDTF">2026-05-24T13:51:17Z</dcterms:modified>
</cp:coreProperties>
</file>