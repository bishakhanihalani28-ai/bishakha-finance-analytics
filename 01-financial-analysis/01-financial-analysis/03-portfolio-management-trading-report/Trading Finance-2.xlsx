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drawings/drawing1.xml" ContentType="application/vnd.openxmlformats-officedocument.drawing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drawings/drawing2.xml" ContentType="application/vnd.openxmlformats-officedocument.drawing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26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saranshdhawan/Desktop/"/>
    </mc:Choice>
  </mc:AlternateContent>
  <xr:revisionPtr revIDLastSave="0" documentId="13_ncr:1_{6543CD68-0724-0A4E-85A8-E39FABD61567}" xr6:coauthVersionLast="47" xr6:coauthVersionMax="47" xr10:uidLastSave="{00000000-0000-0000-0000-000000000000}"/>
  <bookViews>
    <workbookView xWindow="0" yWindow="0" windowWidth="28800" windowHeight="18000" xr2:uid="{09693563-0146-B74A-8B8B-363298849C67}"/>
  </bookViews>
  <sheets>
    <sheet name="Scoring Model Sectors" sheetId="1" r:id="rId1"/>
    <sheet name="Financial" sheetId="2" r:id="rId2"/>
    <sheet name="Communication services" sheetId="3" r:id="rId3"/>
    <sheet name="Industrial" sheetId="4" r:id="rId4"/>
    <sheet name="Consumer Discretionary" sheetId="5" r:id="rId5"/>
  </sheets>
  <definedNames>
    <definedName name="_xlnm._FilterDatabase" localSheetId="1" hidden="1">Financial!$D$32:$W$32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W33" i="5" l="1"/>
  <c r="W42" i="5"/>
  <c r="W40" i="5"/>
  <c r="W28" i="5"/>
  <c r="F50" i="5"/>
  <c r="G49" i="5" s="1"/>
  <c r="H49" i="5" s="1"/>
  <c r="M43" i="5"/>
  <c r="K43" i="5"/>
  <c r="W36" i="5"/>
  <c r="W38" i="5"/>
  <c r="W32" i="5"/>
  <c r="W41" i="5"/>
  <c r="W34" i="5"/>
  <c r="W35" i="5"/>
  <c r="W30" i="5"/>
  <c r="W31" i="5"/>
  <c r="W29" i="5"/>
  <c r="W27" i="5"/>
  <c r="W39" i="5"/>
  <c r="W26" i="5"/>
  <c r="W37" i="5"/>
  <c r="H43" i="4"/>
  <c r="K39" i="4"/>
  <c r="W31" i="4"/>
  <c r="W28" i="4"/>
  <c r="W37" i="4"/>
  <c r="W36" i="4"/>
  <c r="W38" i="4"/>
  <c r="W30" i="4"/>
  <c r="F46" i="4"/>
  <c r="G45" i="4" s="1"/>
  <c r="H45" i="4" s="1"/>
  <c r="M39" i="4"/>
  <c r="W29" i="4"/>
  <c r="W32" i="4"/>
  <c r="W35" i="4"/>
  <c r="W33" i="4"/>
  <c r="W34" i="4"/>
  <c r="W27" i="4"/>
  <c r="W26" i="4"/>
  <c r="H38" i="3"/>
  <c r="H39" i="3"/>
  <c r="H40" i="3"/>
  <c r="G39" i="3"/>
  <c r="G40" i="3"/>
  <c r="G38" i="3"/>
  <c r="F41" i="3"/>
  <c r="W31" i="3"/>
  <c r="W27" i="3"/>
  <c r="W28" i="3"/>
  <c r="W29" i="3"/>
  <c r="W33" i="3"/>
  <c r="W30" i="3"/>
  <c r="W26" i="3"/>
  <c r="W32" i="3"/>
  <c r="M34" i="3"/>
  <c r="K34" i="3"/>
  <c r="G53" i="2"/>
  <c r="H50" i="2" s="1"/>
  <c r="I50" i="2" s="1"/>
  <c r="G47" i="5" l="1"/>
  <c r="H47" i="5" s="1"/>
  <c r="G48" i="5"/>
  <c r="H48" i="5" s="1"/>
  <c r="G43" i="4"/>
  <c r="G44" i="4"/>
  <c r="H44" i="4" s="1"/>
  <c r="H49" i="2"/>
  <c r="I49" i="2" s="1"/>
  <c r="H52" i="2"/>
  <c r="I52" i="2" s="1"/>
  <c r="H51" i="2"/>
  <c r="I51" i="2" s="1"/>
  <c r="W34" i="2" l="1"/>
  <c r="W45" i="2"/>
  <c r="W39" i="2"/>
  <c r="W37" i="2"/>
  <c r="W38" i="2"/>
  <c r="W35" i="2"/>
  <c r="W41" i="2"/>
  <c r="W33" i="2"/>
  <c r="W42" i="2"/>
  <c r="W43" i="2"/>
  <c r="W40" i="2"/>
  <c r="W36" i="2"/>
  <c r="W44" i="2"/>
  <c r="M46" i="2" l="1"/>
  <c r="K46" i="2"/>
  <c r="H7" i="1" l="1"/>
  <c r="E30" i="1" l="1"/>
  <c r="G25" i="1"/>
  <c r="G26" i="1"/>
  <c r="G27" i="1"/>
  <c r="G28" i="1"/>
  <c r="G29" i="1"/>
  <c r="G24" i="1"/>
  <c r="H10" i="1"/>
  <c r="H17" i="1"/>
  <c r="H16" i="1"/>
  <c r="H15" i="1"/>
  <c r="H14" i="1"/>
  <c r="H13" i="1"/>
  <c r="H11" i="1"/>
  <c r="H12" i="1"/>
  <c r="H9" i="1"/>
  <c r="H8" i="1"/>
</calcChain>
</file>

<file path=xl/sharedStrings.xml><?xml version="1.0" encoding="utf-8"?>
<sst xmlns="http://schemas.openxmlformats.org/spreadsheetml/2006/main" count="520" uniqueCount="243">
  <si>
    <t>Sector</t>
  </si>
  <si>
    <t>Rank</t>
  </si>
  <si>
    <t>Total Score</t>
  </si>
  <si>
    <t>Financials</t>
  </si>
  <si>
    <t>Utilities</t>
  </si>
  <si>
    <t>Communication Services</t>
  </si>
  <si>
    <t>Real Estate</t>
  </si>
  <si>
    <t>Information Technology</t>
  </si>
  <si>
    <t>Consumer Staples</t>
  </si>
  <si>
    <t>Industrials</t>
  </si>
  <si>
    <t>Consumer Discretionary</t>
  </si>
  <si>
    <t>Health Care</t>
  </si>
  <si>
    <t>Materials</t>
  </si>
  <si>
    <t>Energy</t>
  </si>
  <si>
    <t xml:space="preserve"> Year 2024 Performance (%)</t>
  </si>
  <si>
    <t>YTD Performance (%)</t>
  </si>
  <si>
    <t>Rank2</t>
  </si>
  <si>
    <t>Allocation</t>
  </si>
  <si>
    <t>https://finance.yahoo.com</t>
  </si>
  <si>
    <t>Soruce</t>
  </si>
  <si>
    <t>1 to 11 points based on 12-month performance rank (best = 11, worst = 1)</t>
  </si>
  <si>
    <t>1 to 11 points based on Year-to-date month performance rank (best = 11, worst = 1)</t>
  </si>
  <si>
    <t>Financial</t>
  </si>
  <si>
    <t>Capital Markets</t>
  </si>
  <si>
    <t>USA</t>
  </si>
  <si>
    <t>Asset Management</t>
  </si>
  <si>
    <t>No.</t>
  </si>
  <si>
    <t>Ticker</t>
  </si>
  <si>
    <t>Company</t>
  </si>
  <si>
    <t>Industry</t>
  </si>
  <si>
    <t>Country</t>
  </si>
  <si>
    <t>P/B</t>
  </si>
  <si>
    <t>P/E</t>
  </si>
  <si>
    <t>Return on Equity ( ROE )</t>
  </si>
  <si>
    <t>Earning momentum Q/Q</t>
  </si>
  <si>
    <t>GL</t>
  </si>
  <si>
    <t>Globe Life Inc</t>
  </si>
  <si>
    <t>Insurance - Life</t>
  </si>
  <si>
    <t>NTRS</t>
  </si>
  <si>
    <t>Northern Trust Corp</t>
  </si>
  <si>
    <t>JPM</t>
  </si>
  <si>
    <t>JPMorgan Chase &amp; Co</t>
  </si>
  <si>
    <t>Banks - Diversified</t>
  </si>
  <si>
    <t>MET</t>
  </si>
  <si>
    <t>Metlife Inc</t>
  </si>
  <si>
    <t>MS</t>
  </si>
  <si>
    <t>Morgan Stanley</t>
  </si>
  <si>
    <t>GS</t>
  </si>
  <si>
    <t>Goldman Sachs Group, Inc</t>
  </si>
  <si>
    <t>USB</t>
  </si>
  <si>
    <t>U.S. Bancorp</t>
  </si>
  <si>
    <t>Banks - Regional</t>
  </si>
  <si>
    <t>RF</t>
  </si>
  <si>
    <t>Regions Financial Corp</t>
  </si>
  <si>
    <t>BK</t>
  </si>
  <si>
    <t>Bank Of New York Mellon Corp</t>
  </si>
  <si>
    <t>STT</t>
  </si>
  <si>
    <t>State Street Corp</t>
  </si>
  <si>
    <t>PNC</t>
  </si>
  <si>
    <t>PNC Financial Services Group Inc</t>
  </si>
  <si>
    <t>WFC</t>
  </si>
  <si>
    <t>Wells Fargo &amp; Co</t>
  </si>
  <si>
    <t>HBAN</t>
  </si>
  <si>
    <t>Huntington Bancshares, Inc</t>
  </si>
  <si>
    <t>Dividend yield %</t>
  </si>
  <si>
    <t xml:space="preserve">Stock Price Development </t>
  </si>
  <si>
    <t>Market Cap ( In B$ )</t>
  </si>
  <si>
    <t>P/E Score</t>
  </si>
  <si>
    <t>P/B Score</t>
  </si>
  <si>
    <t>Earning momentum Q/Q Score</t>
  </si>
  <si>
    <t>Return on Equity ( ROE ) Score</t>
  </si>
  <si>
    <t>Stock Price Development Score</t>
  </si>
  <si>
    <t>Dividend yield Score</t>
  </si>
  <si>
    <t>Weight</t>
  </si>
  <si>
    <t>Weight Allocation</t>
  </si>
  <si>
    <t>Finance</t>
  </si>
  <si>
    <t>USD</t>
  </si>
  <si>
    <t>Investment</t>
  </si>
  <si>
    <t>Allocation USD</t>
  </si>
  <si>
    <t>1=Least favourable , 5=Most favourable</t>
  </si>
  <si>
    <t>ROE</t>
  </si>
  <si>
    <t>Earnings Momentum (Q/Q or YoY)</t>
  </si>
  <si>
    <t>Must be &gt; +5%, preferably &gt; +10% → signals improving fundamentals</t>
  </si>
  <si>
    <t>Stock Price Development (6M or 1Y)</t>
  </si>
  <si>
    <t>Must be positive (&gt; 0%) → avoids investing in stocks with negative momentum</t>
  </si>
  <si>
    <t>P/E Ratio</t>
  </si>
  <si>
    <t>Below 20x → ensures valuation is reasonable relative to earnings</t>
  </si>
  <si>
    <t>P/B Ratio</t>
  </si>
  <si>
    <t>Below 2.0x → ensures valuation is reasonable relative to book value</t>
  </si>
  <si>
    <t>Minimum 10%, preferably &gt; 12% → ensures strong profitability and capital efficiency</t>
  </si>
  <si>
    <t>Dividend Yield</t>
  </si>
  <si>
    <t>Filtered Companies based on this Methodology</t>
  </si>
  <si>
    <t xml:space="preserve">Score Methodology </t>
  </si>
  <si>
    <t>Ensures valuation discipline; avoid overpaying for growth</t>
  </si>
  <si>
    <t>Particularly important for banks/financials where book value matters</t>
  </si>
  <si>
    <t>Earnings Momentum</t>
  </si>
  <si>
    <t>One of the strongest short-to-mid-term predictors of outperformance</t>
  </si>
  <si>
    <t>Key indicator of profitability and business quality in Financial sector</t>
  </si>
  <si>
    <t>Stock Price Development</t>
  </si>
  <si>
    <t>Captures current market sentiment and momentum; helps avoid value traps</t>
  </si>
  <si>
    <t>Provides income and signals shareholder friendliness</t>
  </si>
  <si>
    <t>Scoring model Weight Distribution Reason</t>
  </si>
  <si>
    <t>META</t>
  </si>
  <si>
    <t>Meta Platforms Inc</t>
  </si>
  <si>
    <t>Internet Content &amp; Information</t>
  </si>
  <si>
    <t>1744.97B</t>
  </si>
  <si>
    <t>CHTR</t>
  </si>
  <si>
    <t>Charter Communications Inc</t>
  </si>
  <si>
    <t>Telecom Services</t>
  </si>
  <si>
    <t>109.00B</t>
  </si>
  <si>
    <t>GOOG</t>
  </si>
  <si>
    <t>Alphabet Inc</t>
  </si>
  <si>
    <t>2145.26B</t>
  </si>
  <si>
    <t>GOOGL</t>
  </si>
  <si>
    <t>TMUS</t>
  </si>
  <si>
    <t>T-Mobile US Inc</t>
  </si>
  <si>
    <t>270.18B</t>
  </si>
  <si>
    <t>VZ</t>
  </si>
  <si>
    <t>Verizon Communications Inc</t>
  </si>
  <si>
    <t>184.04B</t>
  </si>
  <si>
    <t>T</t>
  </si>
  <si>
    <t>AT&amp;T, Inc</t>
  </si>
  <si>
    <t>200.47B</t>
  </si>
  <si>
    <t>DIS</t>
  </si>
  <si>
    <t>Walt Disney Co</t>
  </si>
  <si>
    <t>Entertainment</t>
  </si>
  <si>
    <t>207.93B</t>
  </si>
  <si>
    <t>UAL</t>
  </si>
  <si>
    <t>United Airlines Holdings Inc</t>
  </si>
  <si>
    <t>Airlines</t>
  </si>
  <si>
    <t>26.33B</t>
  </si>
  <si>
    <t>-</t>
  </si>
  <si>
    <t>DAL</t>
  </si>
  <si>
    <t>Delta Air Lines, Inc</t>
  </si>
  <si>
    <t>32.63B</t>
  </si>
  <si>
    <t>CARR</t>
  </si>
  <si>
    <t>Carrier Global Corp</t>
  </si>
  <si>
    <t>Building Products &amp; Equipment</t>
  </si>
  <si>
    <t>61.93B</t>
  </si>
  <si>
    <t>NSC</t>
  </si>
  <si>
    <t>Norfolk Southern Corp</t>
  </si>
  <si>
    <t>Railroads</t>
  </si>
  <si>
    <t>56.59B</t>
  </si>
  <si>
    <t>PNR</t>
  </si>
  <si>
    <t>Pentair plc</t>
  </si>
  <si>
    <t>Specialty Industrial Machinery</t>
  </si>
  <si>
    <t>United Kingdom</t>
  </si>
  <si>
    <t>16.48B</t>
  </si>
  <si>
    <t>GD</t>
  </si>
  <si>
    <t>General Dynamics Corp</t>
  </si>
  <si>
    <t>Aerospace &amp; Defense</t>
  </si>
  <si>
    <t>73.66B</t>
  </si>
  <si>
    <t>AME</t>
  </si>
  <si>
    <t>Ametek Inc</t>
  </si>
  <si>
    <t>41.81B</t>
  </si>
  <si>
    <t>JCI</t>
  </si>
  <si>
    <t>Johnson Controls International plc</t>
  </si>
  <si>
    <t>Ireland</t>
  </si>
  <si>
    <t>68.30B</t>
  </si>
  <si>
    <t>FDX</t>
  </si>
  <si>
    <t>Fedex Corp</t>
  </si>
  <si>
    <t>Integrated Freight &amp; Logistics</t>
  </si>
  <si>
    <t>54.00B</t>
  </si>
  <si>
    <t>GNRC</t>
  </si>
  <si>
    <t>Generac Holdings Inc</t>
  </si>
  <si>
    <t>7.73B</t>
  </si>
  <si>
    <t>TXT</t>
  </si>
  <si>
    <t>Textron Inc</t>
  </si>
  <si>
    <t>13.85B</t>
  </si>
  <si>
    <t>LHX</t>
  </si>
  <si>
    <t>L3Harris Technologies Inc</t>
  </si>
  <si>
    <t>45.82B</t>
  </si>
  <si>
    <t>SWK</t>
  </si>
  <si>
    <t>Stanley Black &amp; Decker Inc</t>
  </si>
  <si>
    <t>Tools &amp; Accessories</t>
  </si>
  <si>
    <t>10.58B</t>
  </si>
  <si>
    <t>ULTA</t>
  </si>
  <si>
    <t>Ulta Beauty Inc</t>
  </si>
  <si>
    <t>Consumer Cyclical</t>
  </si>
  <si>
    <t>Specialty Retail</t>
  </si>
  <si>
    <t>20.51B</t>
  </si>
  <si>
    <t>RCL</t>
  </si>
  <si>
    <t>Royal Caribbean Group</t>
  </si>
  <si>
    <t>Travel Services</t>
  </si>
  <si>
    <t>72.99B</t>
  </si>
  <si>
    <t>DRI</t>
  </si>
  <si>
    <t>Darden Restaurants, Inc</t>
  </si>
  <si>
    <t>Restaurants</t>
  </si>
  <si>
    <t>25.39B</t>
  </si>
  <si>
    <t>LULU</t>
  </si>
  <si>
    <t>Lululemon Athletica inc</t>
  </si>
  <si>
    <t>Apparel Retail</t>
  </si>
  <si>
    <t>Canada</t>
  </si>
  <si>
    <t>31.90B</t>
  </si>
  <si>
    <t>DECK</t>
  </si>
  <si>
    <t>Deckers Outdoor Corp</t>
  </si>
  <si>
    <t>Footwear &amp; Accessories</t>
  </si>
  <si>
    <t>16.27B</t>
  </si>
  <si>
    <t>TPR</t>
  </si>
  <si>
    <t>Tapestry Inc</t>
  </si>
  <si>
    <t>Luxury Goods</t>
  </si>
  <si>
    <t>16.89B</t>
  </si>
  <si>
    <t>ROST</t>
  </si>
  <si>
    <t>Ross Stores, Inc</t>
  </si>
  <si>
    <t>45.10B</t>
  </si>
  <si>
    <t>HAS</t>
  </si>
  <si>
    <t>Hasbro, Inc</t>
  </si>
  <si>
    <t>Leisure</t>
  </si>
  <si>
    <t>9.68B</t>
  </si>
  <si>
    <t>EBAY</t>
  </si>
  <si>
    <t>EBay Inc</t>
  </si>
  <si>
    <t>Internet Retail</t>
  </si>
  <si>
    <t>36.03B</t>
  </si>
  <si>
    <t>RL</t>
  </si>
  <si>
    <t>Ralph Lauren Corp</t>
  </si>
  <si>
    <t>Apparel Manufacturing</t>
  </si>
  <si>
    <t>16.23B</t>
  </si>
  <si>
    <t>CCL</t>
  </si>
  <si>
    <t>Carnival Corp</t>
  </si>
  <si>
    <t>31.43B</t>
  </si>
  <si>
    <t>AMCR</t>
  </si>
  <si>
    <t>Amcor Plc</t>
  </si>
  <si>
    <t>Packaging &amp; Containers</t>
  </si>
  <si>
    <t>Switzerland</t>
  </si>
  <si>
    <t>21.19B</t>
  </si>
  <si>
    <t>PKG</t>
  </si>
  <si>
    <t>Packaging Corp Of America</t>
  </si>
  <si>
    <t>17.58B</t>
  </si>
  <si>
    <t>LKQ</t>
  </si>
  <si>
    <t>LKQ Corp</t>
  </si>
  <si>
    <t>Auto Parts</t>
  </si>
  <si>
    <t>10.21B</t>
  </si>
  <si>
    <t>GM</t>
  </si>
  <si>
    <t>General Motors Company</t>
  </si>
  <si>
    <t>Auto Manufacturers</t>
  </si>
  <si>
    <t>48.15B</t>
  </si>
  <si>
    <t>BALL</t>
  </si>
  <si>
    <t>Ball Corp</t>
  </si>
  <si>
    <t>15.18B</t>
  </si>
  <si>
    <t>KMX</t>
  </si>
  <si>
    <t>Carmax Inc</t>
  </si>
  <si>
    <t>Auto &amp; Truck Dealerships</t>
  </si>
  <si>
    <t>10.33B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</si>
</sst>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15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theme="1"/>
      <name val="Calibri"/>
      <family val="2"/>
    </font>
    <font>
      <sz val="10.5"/>
      <color theme="0"/>
      <name val="Calibri"/>
      <family val="2"/>
    </font>
    <font>
      <sz val="10.5"/>
      <color theme="1"/>
      <name val="Calibri"/>
      <family val="2"/>
    </font>
    <font>
      <b/>
      <sz val="10.5"/>
      <color theme="1"/>
      <name val="Calibri"/>
      <family val="2"/>
    </font>
    <font>
      <b/>
      <sz val="10.5"/>
      <color theme="0"/>
      <name val="Calibri"/>
      <family val="2"/>
    </font>
    <font>
      <u/>
      <sz val="12"/>
      <color theme="10"/>
      <name val="Aptos Narrow"/>
      <family val="2"/>
      <scheme val="minor"/>
    </font>
    <font>
      <b/>
      <sz val="12"/>
      <color theme="1"/>
      <name val="Calibri"/>
      <family val="2"/>
    </font>
    <font>
      <b/>
      <u/>
      <sz val="12"/>
      <color theme="10"/>
      <name val="Aptos Narrow"/>
      <family val="2"/>
      <scheme val="minor"/>
    </font>
    <font>
      <b/>
      <sz val="12"/>
      <color theme="1"/>
      <name val="Aptos Narrow"/>
      <scheme val="minor"/>
    </font>
    <font>
      <sz val="12"/>
      <color rgb="FF000000"/>
      <name val="Aptos Narrow"/>
      <family val="2"/>
      <scheme val="minor"/>
    </font>
    <font>
      <b/>
      <sz val="12"/>
      <color rgb="FF000000"/>
      <name val="Aptos Narrow"/>
      <scheme val="minor"/>
    </font>
    <font>
      <b/>
      <sz val="12"/>
      <color theme="1"/>
      <name val="Aptos Narrow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theme="3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1"/>
        <bgColor theme="4"/>
      </patternFill>
    </fill>
    <fill>
      <patternFill patternType="solid">
        <fgColor theme="3" tint="0.749992370372631"/>
        <bgColor indexed="64"/>
      </patternFill>
    </fill>
    <fill>
      <patternFill patternType="solid">
        <fgColor theme="0" tint="-0.34998626667073579"/>
        <bgColor theme="0" tint="-0.34998626667073579"/>
      </patternFill>
    </fill>
  </fills>
  <borders count="33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theme="4"/>
      </left>
      <right/>
      <top style="thin">
        <color theme="4"/>
      </top>
      <bottom/>
      <diagonal/>
    </border>
    <border>
      <left/>
      <right/>
      <top style="thin">
        <color theme="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</borders>
  <cellStyleXfs count="3">
    <xf numFmtId="0" fontId="0" fillId="0" borderId="0"/>
    <xf numFmtId="9" fontId="1" fillId="0" borderId="0" applyFont="0" applyFill="0" applyBorder="0" applyAlignment="0" applyProtection="0"/>
    <xf numFmtId="0" fontId="8" fillId="0" borderId="0" applyNumberFormat="0" applyFill="0" applyBorder="0" applyAlignment="0" applyProtection="0"/>
  </cellStyleXfs>
  <cellXfs count="87">
    <xf numFmtId="0" fontId="0" fillId="0" borderId="0" xfId="0"/>
    <xf numFmtId="0" fontId="0" fillId="0" borderId="5" xfId="0" applyBorder="1"/>
    <xf numFmtId="0" fontId="0" fillId="0" borderId="8" xfId="0" applyBorder="1"/>
    <xf numFmtId="0" fontId="3" fillId="0" borderId="0" xfId="0" applyFont="1"/>
    <xf numFmtId="0" fontId="5" fillId="0" borderId="0" xfId="0" applyFont="1"/>
    <xf numFmtId="0" fontId="5" fillId="0" borderId="9" xfId="0" applyFont="1" applyBorder="1" applyAlignment="1">
      <alignment horizontal="center"/>
    </xf>
    <xf numFmtId="0" fontId="5" fillId="0" borderId="10" xfId="0" applyFont="1" applyBorder="1" applyAlignment="1">
      <alignment horizontal="center"/>
    </xf>
    <xf numFmtId="0" fontId="5" fillId="0" borderId="11" xfId="0" applyFont="1" applyBorder="1" applyAlignment="1">
      <alignment horizontal="center"/>
    </xf>
    <xf numFmtId="0" fontId="6" fillId="0" borderId="12" xfId="0" applyFont="1" applyBorder="1" applyAlignment="1">
      <alignment horizontal="center"/>
    </xf>
    <xf numFmtId="0" fontId="6" fillId="0" borderId="13" xfId="0" applyFont="1" applyBorder="1" applyAlignment="1">
      <alignment horizontal="center"/>
    </xf>
    <xf numFmtId="0" fontId="6" fillId="0" borderId="14" xfId="0" applyFont="1" applyBorder="1" applyAlignment="1">
      <alignment horizontal="center"/>
    </xf>
    <xf numFmtId="0" fontId="5" fillId="0" borderId="15" xfId="0" applyFont="1" applyBorder="1" applyAlignment="1">
      <alignment horizontal="center"/>
    </xf>
    <xf numFmtId="0" fontId="5" fillId="0" borderId="16" xfId="0" applyFont="1" applyBorder="1" applyAlignment="1">
      <alignment horizontal="center"/>
    </xf>
    <xf numFmtId="0" fontId="5" fillId="0" borderId="17" xfId="0" applyFont="1" applyBorder="1" applyAlignment="1">
      <alignment horizontal="center"/>
    </xf>
    <xf numFmtId="0" fontId="5" fillId="3" borderId="10" xfId="0" applyFont="1" applyFill="1" applyBorder="1" applyAlignment="1">
      <alignment horizontal="center"/>
    </xf>
    <xf numFmtId="0" fontId="5" fillId="3" borderId="9" xfId="0" applyFont="1" applyFill="1" applyBorder="1" applyAlignment="1">
      <alignment horizontal="center"/>
    </xf>
    <xf numFmtId="0" fontId="5" fillId="3" borderId="11" xfId="0" applyFont="1" applyFill="1" applyBorder="1" applyAlignment="1">
      <alignment horizontal="center"/>
    </xf>
    <xf numFmtId="0" fontId="3" fillId="0" borderId="0" xfId="0" applyFont="1" applyAlignment="1">
      <alignment horizontal="center"/>
    </xf>
    <xf numFmtId="1" fontId="3" fillId="0" borderId="0" xfId="0" applyNumberFormat="1" applyFont="1" applyAlignment="1">
      <alignment horizontal="center"/>
    </xf>
    <xf numFmtId="9" fontId="3" fillId="0" borderId="9" xfId="1" applyFont="1" applyBorder="1" applyAlignment="1">
      <alignment horizontal="center"/>
    </xf>
    <xf numFmtId="0" fontId="3" fillId="0" borderId="11" xfId="0" applyFont="1" applyBorder="1" applyAlignment="1">
      <alignment horizontal="center"/>
    </xf>
    <xf numFmtId="0" fontId="4" fillId="2" borderId="12" xfId="0" applyFont="1" applyFill="1" applyBorder="1" applyAlignment="1">
      <alignment horizontal="center"/>
    </xf>
    <xf numFmtId="0" fontId="4" fillId="2" borderId="13" xfId="0" applyFont="1" applyFill="1" applyBorder="1" applyAlignment="1">
      <alignment horizontal="center"/>
    </xf>
    <xf numFmtId="0" fontId="4" fillId="2" borderId="14" xfId="0" applyFont="1" applyFill="1" applyBorder="1" applyAlignment="1">
      <alignment horizontal="center"/>
    </xf>
    <xf numFmtId="0" fontId="5" fillId="3" borderId="16" xfId="0" applyFont="1" applyFill="1" applyBorder="1" applyAlignment="1">
      <alignment horizontal="center"/>
    </xf>
    <xf numFmtId="9" fontId="3" fillId="0" borderId="16" xfId="1" applyFont="1" applyBorder="1" applyAlignment="1">
      <alignment horizontal="center"/>
    </xf>
    <xf numFmtId="0" fontId="3" fillId="0" borderId="17" xfId="0" applyFont="1" applyBorder="1" applyAlignment="1">
      <alignment horizontal="center"/>
    </xf>
    <xf numFmtId="0" fontId="9" fillId="5" borderId="18" xfId="0" applyFont="1" applyFill="1" applyBorder="1" applyAlignment="1">
      <alignment horizontal="center"/>
    </xf>
    <xf numFmtId="0" fontId="10" fillId="5" borderId="19" xfId="2" applyFont="1" applyFill="1" applyBorder="1" applyAlignment="1">
      <alignment horizontal="center"/>
    </xf>
    <xf numFmtId="0" fontId="0" fillId="0" borderId="0" xfId="0" applyAlignment="1">
      <alignment horizontal="center"/>
    </xf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10" fontId="0" fillId="0" borderId="0" xfId="1" applyNumberFormat="1" applyFont="1" applyFill="1" applyBorder="1" applyAlignment="1">
      <alignment horizontal="center"/>
    </xf>
    <xf numFmtId="0" fontId="0" fillId="0" borderId="0" xfId="1" applyNumberFormat="1" applyFont="1" applyFill="1" applyBorder="1" applyAlignment="1">
      <alignment horizontal="center"/>
    </xf>
    <xf numFmtId="164" fontId="0" fillId="0" borderId="0" xfId="1" applyNumberFormat="1" applyFont="1" applyFill="1" applyBorder="1" applyAlignment="1">
      <alignment horizontal="center"/>
    </xf>
    <xf numFmtId="0" fontId="0" fillId="0" borderId="6" xfId="0" applyBorder="1"/>
    <xf numFmtId="0" fontId="0" fillId="0" borderId="7" xfId="0" applyBorder="1" applyAlignment="1">
      <alignment horizontal="center"/>
    </xf>
    <xf numFmtId="0" fontId="0" fillId="4" borderId="7" xfId="0" applyFill="1" applyBorder="1" applyAlignment="1">
      <alignment horizontal="center"/>
    </xf>
    <xf numFmtId="10" fontId="0" fillId="0" borderId="7" xfId="0" applyNumberFormat="1" applyBorder="1" applyAlignment="1">
      <alignment horizontal="center"/>
    </xf>
    <xf numFmtId="0" fontId="0" fillId="0" borderId="4" xfId="0" applyBorder="1" applyAlignment="1">
      <alignment horizontal="center"/>
    </xf>
    <xf numFmtId="9" fontId="0" fillId="0" borderId="0" xfId="0" applyNumberFormat="1" applyAlignment="1">
      <alignment horizontal="center"/>
    </xf>
    <xf numFmtId="0" fontId="0" fillId="0" borderId="5" xfId="0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8" xfId="0" applyBorder="1" applyAlignment="1">
      <alignment horizontal="center"/>
    </xf>
    <xf numFmtId="0" fontId="11" fillId="0" borderId="1" xfId="0" applyFont="1" applyBorder="1" applyAlignment="1">
      <alignment horizontal="center"/>
    </xf>
    <xf numFmtId="0" fontId="11" fillId="0" borderId="3" xfId="0" applyFont="1" applyBorder="1" applyAlignment="1">
      <alignment horizontal="center"/>
    </xf>
    <xf numFmtId="0" fontId="0" fillId="0" borderId="9" xfId="0" applyBorder="1" applyAlignment="1">
      <alignment horizontal="center"/>
    </xf>
    <xf numFmtId="9" fontId="0" fillId="0" borderId="9" xfId="1" applyFont="1" applyBorder="1" applyAlignment="1">
      <alignment horizontal="center"/>
    </xf>
    <xf numFmtId="0" fontId="2" fillId="7" borderId="20" xfId="0" applyFont="1" applyFill="1" applyBorder="1" applyAlignment="1">
      <alignment horizontal="center"/>
    </xf>
    <xf numFmtId="0" fontId="2" fillId="7" borderId="21" xfId="0" applyFont="1" applyFill="1" applyBorder="1" applyAlignment="1">
      <alignment horizontal="center"/>
    </xf>
    <xf numFmtId="0" fontId="2" fillId="7" borderId="0" xfId="0" applyFont="1" applyFill="1" applyAlignment="1">
      <alignment horizontal="center"/>
    </xf>
    <xf numFmtId="0" fontId="7" fillId="0" borderId="0" xfId="0" applyFont="1" applyAlignment="1">
      <alignment horizontal="center"/>
    </xf>
    <xf numFmtId="0" fontId="0" fillId="0" borderId="10" xfId="0" applyBorder="1" applyAlignment="1">
      <alignment horizontal="center"/>
    </xf>
    <xf numFmtId="0" fontId="0" fillId="0" borderId="15" xfId="0" applyBorder="1" applyAlignment="1">
      <alignment horizontal="center"/>
    </xf>
    <xf numFmtId="0" fontId="0" fillId="0" borderId="16" xfId="0" applyBorder="1" applyAlignment="1">
      <alignment horizontal="center"/>
    </xf>
    <xf numFmtId="9" fontId="0" fillId="0" borderId="16" xfId="1" applyFont="1" applyBorder="1" applyAlignment="1">
      <alignment horizontal="center"/>
    </xf>
    <xf numFmtId="0" fontId="2" fillId="7" borderId="12" xfId="0" applyFont="1" applyFill="1" applyBorder="1" applyAlignment="1">
      <alignment horizontal="center"/>
    </xf>
    <xf numFmtId="0" fontId="2" fillId="7" borderId="13" xfId="0" applyFont="1" applyFill="1" applyBorder="1" applyAlignment="1">
      <alignment horizontal="center"/>
    </xf>
    <xf numFmtId="0" fontId="7" fillId="6" borderId="13" xfId="0" applyFont="1" applyFill="1" applyBorder="1" applyAlignment="1">
      <alignment horizontal="center"/>
    </xf>
    <xf numFmtId="1" fontId="0" fillId="3" borderId="9" xfId="0" applyNumberFormat="1" applyFill="1" applyBorder="1" applyAlignment="1">
      <alignment horizontal="center"/>
    </xf>
    <xf numFmtId="1" fontId="0" fillId="3" borderId="16" xfId="0" applyNumberFormat="1" applyFill="1" applyBorder="1" applyAlignment="1">
      <alignment horizontal="center"/>
    </xf>
    <xf numFmtId="0" fontId="6" fillId="3" borderId="14" xfId="0" applyFont="1" applyFill="1" applyBorder="1" applyAlignment="1">
      <alignment horizontal="center"/>
    </xf>
    <xf numFmtId="0" fontId="12" fillId="0" borderId="0" xfId="0" applyFont="1"/>
    <xf numFmtId="0" fontId="12" fillId="0" borderId="24" xfId="0" applyFont="1" applyBorder="1" applyAlignment="1">
      <alignment horizontal="center"/>
    </xf>
    <xf numFmtId="0" fontId="12" fillId="0" borderId="25" xfId="0" applyFont="1" applyBorder="1" applyAlignment="1">
      <alignment horizontal="center"/>
    </xf>
    <xf numFmtId="0" fontId="12" fillId="0" borderId="26" xfId="0" applyFont="1" applyBorder="1" applyAlignment="1">
      <alignment horizontal="center"/>
    </xf>
    <xf numFmtId="0" fontId="12" fillId="0" borderId="27" xfId="0" applyFont="1" applyBorder="1" applyAlignment="1">
      <alignment horizontal="center"/>
    </xf>
    <xf numFmtId="0" fontId="0" fillId="8" borderId="28" xfId="0" applyFill="1" applyBorder="1" applyAlignment="1">
      <alignment horizontal="center"/>
    </xf>
    <xf numFmtId="0" fontId="0" fillId="0" borderId="29" xfId="0" applyBorder="1"/>
    <xf numFmtId="9" fontId="12" fillId="0" borderId="9" xfId="0" applyNumberFormat="1" applyFont="1" applyBorder="1" applyAlignment="1">
      <alignment horizontal="center"/>
    </xf>
    <xf numFmtId="9" fontId="12" fillId="0" borderId="31" xfId="0" applyNumberFormat="1" applyFont="1" applyBorder="1" applyAlignment="1">
      <alignment horizontal="center"/>
    </xf>
    <xf numFmtId="10" fontId="0" fillId="0" borderId="0" xfId="0" applyNumberFormat="1" applyAlignment="1">
      <alignment horizontal="center"/>
    </xf>
    <xf numFmtId="0" fontId="0" fillId="9" borderId="32" xfId="0" applyFill="1" applyBorder="1" applyAlignment="1">
      <alignment horizontal="center"/>
    </xf>
    <xf numFmtId="0" fontId="0" fillId="5" borderId="0" xfId="0" applyFill="1" applyAlignment="1">
      <alignment horizontal="center"/>
    </xf>
    <xf numFmtId="0" fontId="11" fillId="8" borderId="22" xfId="0" applyFont="1" applyFill="1" applyBorder="1" applyAlignment="1">
      <alignment horizontal="center"/>
    </xf>
    <xf numFmtId="0" fontId="11" fillId="8" borderId="23" xfId="0" applyFont="1" applyFill="1" applyBorder="1" applyAlignment="1">
      <alignment horizontal="center"/>
    </xf>
    <xf numFmtId="0" fontId="13" fillId="8" borderId="22" xfId="0" applyFont="1" applyFill="1" applyBorder="1" applyAlignment="1">
      <alignment horizontal="center"/>
    </xf>
    <xf numFmtId="0" fontId="13" fillId="8" borderId="30" xfId="0" applyFont="1" applyFill="1" applyBorder="1" applyAlignment="1">
      <alignment horizontal="center"/>
    </xf>
    <xf numFmtId="0" fontId="13" fillId="8" borderId="23" xfId="0" applyFont="1" applyFill="1" applyBorder="1" applyAlignment="1">
      <alignment horizontal="center"/>
    </xf>
    <xf numFmtId="0" fontId="0" fillId="0" borderId="0" xfId="0" applyFill="1" applyAlignment="1">
      <alignment horizontal="center"/>
    </xf>
    <xf numFmtId="0" fontId="0" fillId="0" borderId="0" xfId="0" applyNumberFormat="1" applyFill="1" applyAlignment="1">
      <alignment horizontal="center"/>
    </xf>
    <xf numFmtId="0" fontId="0" fillId="0" borderId="0" xfId="0" applyFill="1"/>
    <xf numFmtId="9" fontId="0" fillId="0" borderId="0" xfId="1" applyFont="1" applyFill="1" applyAlignment="1">
      <alignment horizontal="center"/>
    </xf>
    <xf numFmtId="0" fontId="14" fillId="0" borderId="0" xfId="0" applyFont="1" applyAlignment="1"/>
    <xf numFmtId="0" fontId="14" fillId="0" borderId="0" xfId="0" applyFont="1" applyAlignment="1">
      <alignment horizontal="center"/>
    </xf>
  </cellXfs>
  <cellStyles count="3">
    <cellStyle name="Hyperlink" xfId="2" builtinId="8"/>
    <cellStyle name="Normal" xfId="0" builtinId="0"/>
    <cellStyle name="Per cent" xfId="1" builtinId="5"/>
  </cellStyles>
  <dxfs count="146">
    <dxf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numFmt numFmtId="1" formatCode="0"/>
      <fill>
        <patternFill>
          <fgColor indexed="64"/>
          <bgColor theme="9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numFmt numFmtId="13" formatCode="0%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indexed="64"/>
        </top>
      </border>
    </dxf>
    <dxf>
      <border outline="0">
        <bottom style="thin">
          <color indexed="64"/>
        </bottom>
      </border>
    </dxf>
    <dxf>
      <border outline="0">
        <left style="thin">
          <color indexed="64"/>
        </left>
        <top style="thin">
          <color indexed="64"/>
        </top>
        <bottom style="thin">
          <color indexed="64"/>
        </bottom>
      </border>
    </dxf>
    <dxf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.5"/>
        <color theme="0"/>
        <name val="Calibri"/>
        <family val="2"/>
        <scheme val="none"/>
      </font>
      <fill>
        <patternFill patternType="solid">
          <fgColor indexed="64"/>
          <bgColor theme="1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numFmt numFmtId="0" formatCode="General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Aptos Narrow"/>
        <family val="2"/>
        <scheme val="minor"/>
      </font>
      <fill>
        <patternFill patternType="solid">
          <fgColor theme="4"/>
          <bgColor theme="1"/>
        </patternFill>
      </fill>
      <alignment horizontal="center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.5"/>
        <color theme="0"/>
        <name val="Calibri"/>
        <family val="2"/>
        <scheme val="none"/>
      </font>
      <fill>
        <patternFill patternType="solid">
          <fgColor indexed="64"/>
          <bgColor theme="1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numFmt numFmtId="1" formatCode="0"/>
      <fill>
        <patternFill>
          <fgColor indexed="64"/>
          <bgColor theme="9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numFmt numFmtId="13" formatCode="0%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Aptos Narrow"/>
        <family val="2"/>
        <scheme val="minor"/>
      </font>
      <fill>
        <patternFill patternType="solid">
          <fgColor theme="4"/>
          <bgColor theme="1"/>
        </patternFill>
      </fill>
      <alignment horizontal="center" vertical="bottom" textRotation="0" wrapText="0" indent="0" justifyLastLine="0" shrinkToFit="0" readingOrder="0"/>
    </dxf>
    <dxf>
      <numFmt numFmtId="0" formatCode="General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border outline="0">
        <top style="thin">
          <color indexed="64"/>
        </top>
      </border>
    </dxf>
    <dxf>
      <border outline="0">
        <bottom style="thin">
          <color indexed="64"/>
        </bottom>
      </border>
    </dxf>
    <dxf>
      <border outline="0">
        <left style="thin">
          <color indexed="64"/>
        </left>
        <top style="thin">
          <color indexed="64"/>
        </top>
        <bottom style="thin">
          <color indexed="64"/>
        </bottom>
      </border>
    </dxf>
    <dxf>
      <numFmt numFmtId="1" formatCode="0"/>
      <fill>
        <patternFill>
          <fgColor indexed="64"/>
          <bgColor theme="9" tint="0.5999938962981048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numFmt numFmtId="13" formatCode="0%"/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top style="thin">
          <color indexed="64"/>
        </top>
        <bottom style="thin">
          <color indexed="64"/>
        </bottom>
      </border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.5"/>
        <color theme="0"/>
        <name val="Calibri"/>
        <family val="2"/>
        <scheme val="none"/>
      </font>
      <fill>
        <patternFill patternType="solid">
          <fgColor indexed="64"/>
          <bgColor theme="1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numFmt numFmtId="0" formatCode="General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numFmt numFmtId="14" formatCode="0.00%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numFmt numFmtId="14" formatCode="0.00%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numFmt numFmtId="14" formatCode="0.00%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Aptos Narrow"/>
        <family val="2"/>
        <scheme val="minor"/>
      </font>
      <fill>
        <patternFill patternType="solid">
          <fgColor theme="4"/>
          <bgColor theme="1"/>
        </patternFill>
      </fill>
      <alignment horizontal="center" vertical="bottom" textRotation="0" wrapText="0" indent="0" justifyLastLine="0" shrinkToFit="0" readingOrder="0"/>
    </dxf>
    <dxf>
      <numFmt numFmtId="1" formatCode="0"/>
      <fill>
        <patternFill>
          <fgColor indexed="64"/>
          <bgColor theme="9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top style="thin">
          <color indexed="64"/>
        </top>
        <bottom style="thin">
          <color indexed="64"/>
        </bottom>
      </border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.5"/>
        <color theme="0"/>
        <name val="Calibri"/>
        <family val="2"/>
        <scheme val="none"/>
      </font>
      <fill>
        <patternFill patternType="solid">
          <fgColor indexed="64"/>
          <bgColor theme="1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numFmt numFmtId="14" formatCode="0.00%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numFmt numFmtId="164" formatCode="0.0%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numFmt numFmtId="14" formatCode="0.00%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Aptos Narrow"/>
        <family val="2"/>
        <scheme val="minor"/>
      </font>
      <fill>
        <patternFill patternType="solid">
          <fgColor theme="4"/>
          <bgColor theme="1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.5"/>
        <color theme="1"/>
        <name val="Calibri"/>
        <family val="2"/>
        <scheme val="none"/>
      </font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.5"/>
        <color theme="1"/>
        <name val="Calibri"/>
        <family val="2"/>
        <scheme val="none"/>
      </font>
      <fill>
        <patternFill patternType="solid">
          <fgColor indexed="64"/>
          <bgColor theme="9" tint="0.5999938962981048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.5"/>
        <color theme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.5"/>
        <color theme="0"/>
        <name val="Calibri"/>
        <family val="2"/>
        <scheme val="none"/>
      </font>
      <fill>
        <patternFill patternType="solid">
          <fgColor indexed="64"/>
          <bgColor theme="3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.5"/>
        <color theme="1"/>
        <name val="Calibri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.5"/>
        <color theme="1"/>
        <name val="Calibri"/>
        <family val="2"/>
        <scheme val="none"/>
      </font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.5"/>
        <color theme="1"/>
        <name val="Calibri"/>
        <family val="2"/>
        <scheme val="none"/>
      </font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.5"/>
        <color theme="1"/>
        <name val="Calibri"/>
        <family val="2"/>
        <scheme val="none"/>
      </font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.5"/>
        <color theme="1"/>
        <name val="Calibri"/>
        <family val="2"/>
        <scheme val="none"/>
      </font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.5"/>
        <color theme="1"/>
        <name val="Calibri"/>
        <family val="2"/>
        <scheme val="none"/>
      </font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.5"/>
        <color theme="1"/>
        <name val="Calibri"/>
        <family val="2"/>
        <scheme val="none"/>
      </font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.5"/>
        <color theme="1"/>
        <name val="Calibri"/>
        <family val="2"/>
        <scheme val="none"/>
      </font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816583</xdr:colOff>
      <xdr:row>0</xdr:row>
      <xdr:rowOff>189149</xdr:rowOff>
    </xdr:from>
    <xdr:to>
      <xdr:col>12</xdr:col>
      <xdr:colOff>180232</xdr:colOff>
      <xdr:row>17</xdr:row>
      <xdr:rowOff>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75912A52-3840-25F0-7E06-157A321529E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464881" y="189149"/>
          <a:ext cx="16738330" cy="3256064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12700</xdr:colOff>
      <xdr:row>3</xdr:row>
      <xdr:rowOff>0</xdr:rowOff>
    </xdr:from>
    <xdr:to>
      <xdr:col>14</xdr:col>
      <xdr:colOff>977900</xdr:colOff>
      <xdr:row>18</xdr:row>
      <xdr:rowOff>12700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3A4C7EBE-DFF8-412A-D46F-840CA6FDAAD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489200" y="609600"/>
          <a:ext cx="17221200" cy="3060700"/>
        </a:xfrm>
        <a:prstGeom prst="rect">
          <a:avLst/>
        </a:prstGeom>
      </xdr:spPr>
    </xdr:pic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7E33DBCB-886B-8D4F-888C-897F309C7B93}" name="Table2" displayName="Table2" ref="C6:H17" totalsRowShown="0" headerRowDxfId="145" dataDxfId="143" headerRowBorderDxfId="144" tableBorderDxfId="142" totalsRowBorderDxfId="141">
  <autoFilter ref="C6:H17" xr:uid="{7E33DBCB-886B-8D4F-888C-897F309C7B93}"/>
  <sortState xmlns:xlrd2="http://schemas.microsoft.com/office/spreadsheetml/2017/richdata2" ref="C7:H17">
    <sortCondition descending="1" ref="H6:H17"/>
  </sortState>
  <tableColumns count="6">
    <tableColumn id="1" xr3:uid="{6CA3CE9D-F24A-014C-A399-BF553AF44632}" name="Sector" dataDxfId="140"/>
    <tableColumn id="2" xr3:uid="{CFC7CB61-B099-194C-852D-07D3948EC8D7}" name=" Year 2024 Performance (%)" dataDxfId="139"/>
    <tableColumn id="3" xr3:uid="{F17CC1BB-7F47-F44C-B64B-DB221647C7DD}" name="Rank" dataDxfId="138"/>
    <tableColumn id="4" xr3:uid="{012DBE8E-CA67-3541-B8DB-7404286DE994}" name="YTD Performance (%)" dataDxfId="137"/>
    <tableColumn id="5" xr3:uid="{B299FB70-DF56-5847-B401-B4202FDA9BD4}" name="Rank2" dataDxfId="136"/>
    <tableColumn id="6" xr3:uid="{ADFCCAA9-3665-984A-86A6-F94C2682947D}" name="Total Score" dataDxfId="135">
      <calculatedColumnFormula>(Table2[[#This Row],[Rank]]*E$5)+(Table2[[#This Row],[Rank2]]*G$5)</calculatedColumnFormula>
    </tableColumn>
  </tableColumns>
  <tableStyleInfo name="TableStyleMedium8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CAACC1AC-5AE1-D44D-B6C8-1C3EEB3F9291}" name="Table3" displayName="Table3" ref="C23:G29" totalsRowShown="0" headerRowDxfId="134" headerRowBorderDxfId="133" tableBorderDxfId="132" totalsRowBorderDxfId="131">
  <autoFilter ref="C23:G29" xr:uid="{CAACC1AC-5AE1-D44D-B6C8-1C3EEB3F9291}"/>
  <tableColumns count="5">
    <tableColumn id="1" xr3:uid="{BD9A66BF-DBCD-FF4A-A9D8-966C97A4F591}" name="Rank" dataDxfId="130"/>
    <tableColumn id="2" xr3:uid="{386BFD59-5C8C-4941-B0EA-2D6C6C3372E1}" name="Sector" dataDxfId="129"/>
    <tableColumn id="3" xr3:uid="{402BEDE8-F1F0-BE47-A18E-338624C5656F}" name="Total Score" dataDxfId="128"/>
    <tableColumn id="4" xr3:uid="{194A1FC2-BD71-0547-B0B7-5EC956C58878}" name="Allocation" dataDxfId="127" dataCellStyle="Per cent"/>
    <tableColumn id="5" xr3:uid="{330B607A-F91A-E546-ADBB-48220A3825D6}" name="Allocation USD" dataDxfId="126">
      <calculatedColumnFormula>F24*G$21</calculatedColumnFormula>
    </tableColumn>
  </tableColumns>
  <tableStyleInfo name="TableStyleMedium2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DC24FA24-6EFB-EB42-A3B3-CF4264B2F20A}" name="Table4" displayName="Table4" ref="D32:W45" totalsRowShown="0" headerRowDxfId="125" dataDxfId="124">
  <autoFilter ref="D32:W45" xr:uid="{DC24FA24-6EFB-EB42-A3B3-CF4264B2F20A}"/>
  <tableColumns count="20">
    <tableColumn id="1" xr3:uid="{A4289412-15AD-604F-B06E-EFEC3809F134}" name="No." dataDxfId="123"/>
    <tableColumn id="2" xr3:uid="{CAC24D46-F88B-234C-AF5C-664A10AD375E}" name="Ticker" dataDxfId="122"/>
    <tableColumn id="3" xr3:uid="{F9A30B7D-77B2-C544-8DAF-C7602D07B6D0}" name="Company" dataDxfId="121"/>
    <tableColumn id="4" xr3:uid="{2370BE04-A727-2246-BAA8-C149082B7831}" name="Sector" dataDxfId="120"/>
    <tableColumn id="5" xr3:uid="{03C15F92-BFAD-F445-A5A2-BC351E7A76F2}" name="Industry" dataDxfId="119"/>
    <tableColumn id="6" xr3:uid="{DE955358-C73E-0744-8B3C-4B68CA19A4AC}" name="Country" dataDxfId="118"/>
    <tableColumn id="7" xr3:uid="{E47A4B0B-0F1F-9841-B7FC-AB21CA8DC9FF}" name="Market Cap ( In B$ )" dataDxfId="117"/>
    <tableColumn id="8" xr3:uid="{332256EC-0CA1-134B-8280-89AA4D31A3F4}" name="P/E" dataDxfId="116"/>
    <tableColumn id="9" xr3:uid="{D2E8252A-2E19-B747-A1D0-944F202E7630}" name="P/E Score" dataDxfId="115"/>
    <tableColumn id="10" xr3:uid="{89590E2E-96C8-9F44-8F6D-BF55C202C7EB}" name="P/B" dataDxfId="114"/>
    <tableColumn id="11" xr3:uid="{E46F3796-6D4A-0047-AA28-1779E211AFEC}" name="P/B Score" dataDxfId="113"/>
    <tableColumn id="12" xr3:uid="{78F737B6-F337-4A4F-9F03-1742E448AC6C}" name="Dividend yield %" dataDxfId="112" dataCellStyle="Per cent"/>
    <tableColumn id="13" xr3:uid="{9BB6B91E-0F3C-CA48-95A9-887AE279F742}" name="Dividend yield Score" dataDxfId="111" dataCellStyle="Per cent"/>
    <tableColumn id="14" xr3:uid="{B6333FDD-1860-0D4E-A9CB-0D8FB554DA97}" name="Earning momentum Q/Q" dataDxfId="110" dataCellStyle="Per cent"/>
    <tableColumn id="15" xr3:uid="{40EB4673-CBF5-D04E-B82F-8C0AB04F8DE7}" name="Earning momentum Q/Q Score" dataDxfId="109" dataCellStyle="Per cent"/>
    <tableColumn id="16" xr3:uid="{DA33DCB2-81A0-CC40-9A87-0FC790DEA56B}" name="Return on Equity ( ROE )" dataDxfId="108" dataCellStyle="Per cent"/>
    <tableColumn id="17" xr3:uid="{38A3EF05-A9F9-B143-A393-8013308BF20C}" name="Return on Equity ( ROE ) Score" dataDxfId="107" dataCellStyle="Per cent"/>
    <tableColumn id="18" xr3:uid="{9AFB238F-15FA-704B-8BEB-5B1D504801F5}" name="Stock Price Development " dataDxfId="106"/>
    <tableColumn id="19" xr3:uid="{A4653D74-2AAA-C542-AB6F-1738B04372A2}" name="Stock Price Development Score" dataDxfId="105"/>
    <tableColumn id="20" xr3:uid="{96988565-C4B7-E947-BE32-FADCCF51A358}" name="Total Score" dataDxfId="104">
      <calculatedColumnFormula>(L33*K$31)+(N33*M$31)+(P33*O$31)+(R33*Q$31)+(T33*S$31)+(V33*U$31)</calculatedColumnFormula>
    </tableColumn>
  </tableColumns>
  <tableStyleInfo name="TableStyleMedium2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96E84E2A-78CE-EE47-807C-8A903AA2A9F7}" name="Table5" displayName="Table5" ref="E48:I52" totalsRowShown="0" headerRowDxfId="103" headerRowBorderDxfId="102" tableBorderDxfId="101" totalsRowBorderDxfId="100">
  <autoFilter ref="E48:I52" xr:uid="{96E84E2A-78CE-EE47-807C-8A903AA2A9F7}"/>
  <tableColumns count="5">
    <tableColumn id="1" xr3:uid="{185515E2-577A-2440-B961-42FE5ECF5739}" name="Ticker" dataDxfId="99"/>
    <tableColumn id="2" xr3:uid="{F6455BE7-7FCB-F74C-BAB8-4A520A32FF8D}" name="Company" dataDxfId="98"/>
    <tableColumn id="3" xr3:uid="{43E89C15-FEE9-E347-A77F-7246DBD56C28}" name="Total Score" dataDxfId="97"/>
    <tableColumn id="4" xr3:uid="{1ED5EC30-76BB-F847-921B-6FA135C4F960}" name="Weight Allocation" dataDxfId="96" dataCellStyle="Per cent">
      <calculatedColumnFormula>G49/G$53</calculatedColumnFormula>
    </tableColumn>
    <tableColumn id="5" xr3:uid="{34C7E3C5-EDEF-4942-A39F-B57DA9AC2918}" name="Allocation USD" dataDxfId="95">
      <calculatedColumnFormula>H49*C$49</calculatedColumnFormula>
    </tableColumn>
  </tableColumns>
  <tableStyleInfo name="TableStyleMedium2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06D3C4A-96B8-6545-806D-415EC4EDE929}" name="Table42" displayName="Table42" ref="D25:W33" totalsRowShown="0" headerRowDxfId="94" dataDxfId="93">
  <autoFilter ref="D25:W33" xr:uid="{E06D3C4A-96B8-6545-806D-415EC4EDE929}"/>
  <sortState xmlns:xlrd2="http://schemas.microsoft.com/office/spreadsheetml/2017/richdata2" ref="D26:W33">
    <sortCondition descending="1" ref="W25:W33"/>
  </sortState>
  <tableColumns count="20">
    <tableColumn id="1" xr3:uid="{C728D282-8DAB-AA49-B06A-6F0F0165A0BE}" name="No." dataDxfId="92"/>
    <tableColumn id="2" xr3:uid="{E8895A61-C0BF-2045-A5CF-2189B1420E99}" name="Ticker" dataDxfId="91"/>
    <tableColumn id="3" xr3:uid="{AEA090F6-F1B7-A146-9577-93B835CD43F2}" name="Company" dataDxfId="90"/>
    <tableColumn id="4" xr3:uid="{A09258BC-0417-464F-A5F3-FFC4B6BABF1C}" name="Sector" dataDxfId="89"/>
    <tableColumn id="5" xr3:uid="{5B5B6769-B37F-C94D-A61C-005C7A9F5607}" name="Industry" dataDxfId="88"/>
    <tableColumn id="6" xr3:uid="{A1C78FD1-0766-D642-88F8-8CC8BCDFA1CB}" name="Country" dataDxfId="87"/>
    <tableColumn id="7" xr3:uid="{75EBCD49-4752-FE4B-8567-C95E1E1AF750}" name="Market Cap ( In B$ )" dataDxfId="86"/>
    <tableColumn id="8" xr3:uid="{83697B2E-03E6-FA48-B4B3-3DC55E2D81FB}" name="P/E" dataDxfId="85"/>
    <tableColumn id="9" xr3:uid="{CEE574AA-90D4-6C4A-9F77-AAFCEC6ED776}" name="P/E Score" dataDxfId="84"/>
    <tableColumn id="10" xr3:uid="{F5CA0005-D79B-C548-9EC4-F1FBBB8FF808}" name="P/B" dataDxfId="83"/>
    <tableColumn id="11" xr3:uid="{EC76311F-5102-B949-AF00-DC7CD73C23AF}" name="P/B Score" dataDxfId="82"/>
    <tableColumn id="12" xr3:uid="{B830B344-F21D-3242-BB4E-CB22C1763DD4}" name="Dividend yield %" dataDxfId="81" dataCellStyle="Per cent"/>
    <tableColumn id="13" xr3:uid="{0155CA08-6BC4-A14F-A47F-2CAC6CD9E731}" name="Dividend yield Score" dataDxfId="80" dataCellStyle="Per cent"/>
    <tableColumn id="14" xr3:uid="{8BDC7E9B-34A5-FA48-A7DD-3496E26FF04E}" name="Earning momentum Q/Q" dataDxfId="79" dataCellStyle="Per cent"/>
    <tableColumn id="15" xr3:uid="{EA04079D-61E6-0A4A-9A5F-9D34731A52C5}" name="Earning momentum Q/Q Score" dataDxfId="78" dataCellStyle="Per cent"/>
    <tableColumn id="16" xr3:uid="{391003AC-F0AC-9E4E-A22B-416C6CA515E1}" name="Return on Equity ( ROE )" dataDxfId="77" dataCellStyle="Per cent"/>
    <tableColumn id="17" xr3:uid="{06D72FEE-11FE-CD44-B156-50274E05ED38}" name="Return on Equity ( ROE ) Score" dataDxfId="76" dataCellStyle="Per cent"/>
    <tableColumn id="18" xr3:uid="{713A5249-321D-354D-BC1F-D097D6E87133}" name="Stock Price Development " dataDxfId="75"/>
    <tableColumn id="19" xr3:uid="{63041810-AE11-EB45-AB6C-294F9D37DE54}" name="Stock Price Development Score" dataDxfId="74"/>
    <tableColumn id="20" xr3:uid="{4E28486C-E834-044D-B9BE-95FE9E13A6EB}" name="Total Score" dataDxfId="73">
      <calculatedColumnFormula>(Table42[[#This Row],[P/E Score]]*K$24)+(Table42[[#This Row],[P/B Score]]*M$24)+(Table42[[#This Row],[Dividend yield Score]]*O$24)+(Table42[[#This Row],[Earning momentum Q/Q Score]]*Q$24)+(Table42[[#This Row],[Return on Equity ( ROE ) Score]]*S$24)+(Table42[[#This Row],[Stock Price Development Score]]*U$24)</calculatedColumnFormula>
    </tableColumn>
  </tableColumns>
  <tableStyleInfo name="TableStyleMedium2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634526AF-7C4B-B24E-8C79-18883EEFE40D}" name="Table57" displayName="Table57" ref="D37:H40" totalsRowShown="0" headerRowDxfId="72" headerRowBorderDxfId="71" tableBorderDxfId="70" totalsRowBorderDxfId="69">
  <autoFilter ref="D37:H40" xr:uid="{634526AF-7C4B-B24E-8C79-18883EEFE40D}"/>
  <tableColumns count="5">
    <tableColumn id="1" xr3:uid="{D2D00D5A-6A1B-FF41-B26E-8FAB59AA64E2}" name="Ticker" dataDxfId="68"/>
    <tableColumn id="2" xr3:uid="{1F103223-254C-4242-B2C6-71FACB3215DA}" name="Company" dataDxfId="67"/>
    <tableColumn id="3" xr3:uid="{247221C8-3DFA-6149-8FA6-F0FEB07D9FC6}" name="Total Score" dataDxfId="66"/>
    <tableColumn id="4" xr3:uid="{E85A7814-7DC2-AB49-B89B-6295AD2CD00F}" name="Weight Allocation" dataDxfId="65" dataCellStyle="Per cent">
      <calculatedColumnFormula>F38/F$41</calculatedColumnFormula>
    </tableColumn>
    <tableColumn id="5" xr3:uid="{B7B2B468-6A03-5346-BEAA-C2FE9CF27BCC}" name="Allocation USD" dataDxfId="64">
      <calculatedColumnFormula>G38*B$38</calculatedColumnFormula>
    </tableColumn>
  </tableColumns>
  <tableStyleInfo name="TableStyleMedium22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0D8DD525-996F-3647-9A64-FAE4A97CFD2D}" name="Table428" displayName="Table428" ref="D25:W38" totalsRowShown="0" headerRowDxfId="40" dataDxfId="39">
  <autoFilter ref="D25:W38" xr:uid="{0D8DD525-996F-3647-9A64-FAE4A97CFD2D}"/>
  <sortState xmlns:xlrd2="http://schemas.microsoft.com/office/spreadsheetml/2017/richdata2" ref="D26:W38">
    <sortCondition descending="1" ref="W25:W38"/>
  </sortState>
  <tableColumns count="20">
    <tableColumn id="1" xr3:uid="{DF4EA9EB-FFC6-884B-AB76-80EC05EB1F8B}" name="No." dataDxfId="60"/>
    <tableColumn id="2" xr3:uid="{9ACDB2D5-BAC0-CA4A-B1FB-8F027F7E94CC}" name="Ticker" dataDxfId="59"/>
    <tableColumn id="3" xr3:uid="{0B26252E-00A2-8847-9D19-A43F9AA90C4D}" name="Company" dataDxfId="58"/>
    <tableColumn id="4" xr3:uid="{D3C838FB-4F77-824E-91B4-D092FA81C472}" name="Sector" dataDxfId="57"/>
    <tableColumn id="5" xr3:uid="{8D5F52D9-E31F-9F45-853E-BBF1382FC4D5}" name="Industry" dataDxfId="56"/>
    <tableColumn id="6" xr3:uid="{9A635ED8-A288-EA4F-86DB-7FBE0BF162CF}" name="Country" dataDxfId="55"/>
    <tableColumn id="7" xr3:uid="{48B4D291-0119-3646-B210-A2356E56B4E6}" name="Market Cap ( In B$ )" dataDxfId="54"/>
    <tableColumn id="8" xr3:uid="{EEE361D8-2665-9846-AD70-92706C18FF5F}" name="P/E" dataDxfId="53"/>
    <tableColumn id="9" xr3:uid="{720B265B-9613-4F46-AAAB-E261CCEEF7C0}" name="P/E Score" dataDxfId="52"/>
    <tableColumn id="10" xr3:uid="{CD8AADDE-0E50-A84B-BB9F-1662C3D7E4A0}" name="P/B" dataDxfId="51"/>
    <tableColumn id="11" xr3:uid="{2AE82BCB-7384-6247-809F-7FF8D96DB2BC}" name="P/B Score" dataDxfId="50"/>
    <tableColumn id="12" xr3:uid="{5F851E03-109F-9440-A881-EC7221074A37}" name="Dividend yield %" dataDxfId="49" dataCellStyle="Per cent"/>
    <tableColumn id="13" xr3:uid="{25070AE0-4421-954E-A9CA-C9CE3CDD0C6F}" name="Dividend yield Score" dataDxfId="48" dataCellStyle="Per cent"/>
    <tableColumn id="14" xr3:uid="{C1060A13-EA4A-C14E-8B16-9D235493D5BF}" name="Earning momentum Q/Q" dataDxfId="47" dataCellStyle="Per cent"/>
    <tableColumn id="15" xr3:uid="{4395B3AA-1098-9A4B-827D-EF46B9641BEB}" name="Earning momentum Q/Q Score" dataDxfId="46" dataCellStyle="Per cent"/>
    <tableColumn id="16" xr3:uid="{A6CA17DD-8333-E542-8B16-C0787D0172F1}" name="Return on Equity ( ROE )" dataDxfId="45" dataCellStyle="Per cent"/>
    <tableColumn id="17" xr3:uid="{3D607663-DF15-D04B-91BA-E6F6DC6D200C}" name="Return on Equity ( ROE ) Score" dataDxfId="44" dataCellStyle="Per cent"/>
    <tableColumn id="18" xr3:uid="{738F9B8E-8924-6141-84A0-99E421886385}" name="Stock Price Development " dataDxfId="43"/>
    <tableColumn id="19" xr3:uid="{552E7EA0-36BB-9945-8FD7-C59DC42245EF}" name="Stock Price Development Score" dataDxfId="42"/>
    <tableColumn id="20" xr3:uid="{1EA89A7D-AA47-DF4F-B239-23CE726B71AB}" name="Total Score" dataDxfId="41">
      <calculatedColumnFormula>(Table428[[#This Row],[P/E Score]]*K$24)+(Table428[[#This Row],[P/B Score]]*M$24)+(Table428[[#This Row],[Dividend yield Score]]*O$24)+(Table428[[#This Row],[Earning momentum Q/Q Score]]*Q$24)+(Table428[[#This Row],[Return on Equity ( ROE ) Score]]*S$24)+(Table428[[#This Row],[Stock Price Development Score]]*U$24)</calculatedColumnFormula>
    </tableColumn>
  </tableColumns>
  <tableStyleInfo name="TableStyleMedium22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D1E699DD-1D33-0446-9926-8314063F223C}" name="Table579" displayName="Table579" ref="D42:H45" totalsRowShown="0" headerRowDxfId="35" dataDxfId="34" headerRowBorderDxfId="62" tableBorderDxfId="63" totalsRowBorderDxfId="61">
  <autoFilter ref="D42:H45" xr:uid="{D1E699DD-1D33-0446-9926-8314063F223C}"/>
  <tableColumns count="5">
    <tableColumn id="1" xr3:uid="{E471A0F5-4690-9D4B-B0B7-B3FDD86D964B}" name="Ticker" dataDxfId="33"/>
    <tableColumn id="2" xr3:uid="{E2A19E63-DFB6-8A44-8629-BF2905FAA39A}" name="Company" dataDxfId="32"/>
    <tableColumn id="3" xr3:uid="{A45725B8-2355-8D42-AA5E-606AC7B01C46}" name="Total Score" dataDxfId="38"/>
    <tableColumn id="4" xr3:uid="{9DAF38A6-5F8C-2444-88BC-0E3F5E5A2AC4}" name="Weight Allocation" dataDxfId="37" dataCellStyle="Per cent">
      <calculatedColumnFormula>F43/F$46</calculatedColumnFormula>
    </tableColumn>
    <tableColumn id="5" xr3:uid="{65B99583-062C-BC4E-93EB-8F22F6970DBF}" name="Allocation USD" dataDxfId="36">
      <calculatedColumnFormula>G43*B$43</calculatedColumnFormula>
    </tableColumn>
  </tableColumns>
  <tableStyleInfo name="TableStyleMedium22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99CE710D-7F87-9148-BE3A-3ACD48458114}" name="Table42810" displayName="Table42810" ref="D25:W42" totalsRowShown="0" headerRowDxfId="31" dataDxfId="30">
  <autoFilter ref="D25:W42" xr:uid="{99CE710D-7F87-9148-BE3A-3ACD48458114}"/>
  <sortState xmlns:xlrd2="http://schemas.microsoft.com/office/spreadsheetml/2017/richdata2" ref="D26:W42">
    <sortCondition descending="1" ref="W25:W42"/>
  </sortState>
  <tableColumns count="20">
    <tableColumn id="1" xr3:uid="{4644F963-8160-E542-89BC-959B1F2788CA}" name="No." dataDxfId="20"/>
    <tableColumn id="2" xr3:uid="{E22714AE-D2C3-904F-BF33-1947DCCA07CF}" name="Ticker" dataDxfId="19"/>
    <tableColumn id="3" xr3:uid="{CA8D2A7A-A0F9-E149-B76E-EE67C72D66D9}" name="Company" dataDxfId="18"/>
    <tableColumn id="4" xr3:uid="{F5D5132E-336C-944E-9EBE-2998D917E87F}" name="Sector" dataDxfId="17"/>
    <tableColumn id="5" xr3:uid="{31CB20A1-8B72-9E4A-8BAE-F0C60F45FAE1}" name="Industry" dataDxfId="16"/>
    <tableColumn id="6" xr3:uid="{3DB65082-AC20-FF43-988E-351B39D5000C}" name="Country" dataDxfId="15"/>
    <tableColumn id="7" xr3:uid="{CD629942-B74E-0F4E-8A04-7A26BE36B61E}" name="Market Cap ( In B$ )" dataDxfId="14"/>
    <tableColumn id="8" xr3:uid="{BA43FF2A-94E0-FB4D-8D46-1ACE354133E8}" name="P/E" dataDxfId="13"/>
    <tableColumn id="9" xr3:uid="{9AFD4717-D072-454F-A934-060D7D5F1A79}" name="P/E Score" dataDxfId="12"/>
    <tableColumn id="10" xr3:uid="{B3C0762D-93FC-AB4D-A2E1-AD3C6F8ACEE3}" name="P/B" dataDxfId="11"/>
    <tableColumn id="11" xr3:uid="{0DE8A5DB-CB1A-6D41-B457-F719CA7A6334}" name="P/B Score" dataDxfId="10"/>
    <tableColumn id="12" xr3:uid="{8F00140A-3832-AB4E-8DD6-219C39A4F0DE}" name="Dividend yield %" dataDxfId="9" dataCellStyle="Per cent"/>
    <tableColumn id="13" xr3:uid="{670FAF2E-0E02-C34B-A14D-FCECFF355933}" name="Dividend yield Score" dataDxfId="8" dataCellStyle="Per cent"/>
    <tableColumn id="14" xr3:uid="{D99D3114-78A3-894D-83D2-2CC06ADBE230}" name="Earning momentum Q/Q" dataDxfId="7" dataCellStyle="Per cent"/>
    <tableColumn id="15" xr3:uid="{7752C5B6-2DAD-7E44-823F-542F538D6EAC}" name="Earning momentum Q/Q Score" dataDxfId="6" dataCellStyle="Per cent"/>
    <tableColumn id="16" xr3:uid="{18407126-E2F9-1947-B46B-F11708041E55}" name="Return on Equity ( ROE )" dataDxfId="5" dataCellStyle="Per cent"/>
    <tableColumn id="17" xr3:uid="{63F1709F-ACC5-E54E-A950-C818FA1F1BAF}" name="Return on Equity ( ROE ) Score" dataDxfId="4" dataCellStyle="Per cent"/>
    <tableColumn id="18" xr3:uid="{BE201486-3D20-654C-89EC-867E81754858}" name="Stock Price Development " dataDxfId="2"/>
    <tableColumn id="19" xr3:uid="{9E848A1E-59C0-1845-BC49-449096FCB005}" name="Stock Price Development Score" dataDxfId="3"/>
    <tableColumn id="20" xr3:uid="{2A016873-E84A-F444-8808-646C4FDDB5B2}" name="Total Score" dataDxfId="29">
      <calculatedColumnFormula>(Table42810[[#This Row],[P/E Score]]*K$24)+(Table42810[[#This Row],[P/B Score]]*M$24)+(Table42810[[#This Row],[Dividend yield Score]]*O$24)+(Table42810[[#This Row],[Earning momentum Q/Q Score]]*Q$24)+(Table42810[[#This Row],[Return on Equity ( ROE ) Score]]*S$24)+(Table42810[[#This Row],[Stock Price Development Score]]*U$24)</calculatedColumnFormula>
    </tableColumn>
  </tableColumns>
  <tableStyleInfo name="TableStyleMedium22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755CE463-556B-7941-B478-13E424374697}" name="Table57911" displayName="Table57911" ref="D46:H49" totalsRowShown="0" headerRowDxfId="28" dataDxfId="27" headerRowBorderDxfId="25" tableBorderDxfId="26" totalsRowBorderDxfId="24">
  <autoFilter ref="D46:H49" xr:uid="{755CE463-556B-7941-B478-13E424374697}"/>
  <tableColumns count="5">
    <tableColumn id="1" xr3:uid="{F1C572DE-A0B2-7C49-8FF1-443EBDAA9FC2}" name="Ticker" dataDxfId="1"/>
    <tableColumn id="2" xr3:uid="{68FD8A0E-EA1A-2F46-93C2-5E845C16B905}" name="Company" dataDxfId="0"/>
    <tableColumn id="3" xr3:uid="{E810AA7D-3AFF-934B-93DB-8F3EDD98A862}" name="Total Score" dataDxfId="23"/>
    <tableColumn id="4" xr3:uid="{C959E924-D88D-B447-AEC4-70C5A5C7EB58}" name="Weight Allocation" dataDxfId="22" dataCellStyle="Per cent">
      <calculatedColumnFormula>F47/F$50</calculatedColumnFormula>
    </tableColumn>
    <tableColumn id="5" xr3:uid="{225AC6A2-BDD6-7444-892D-172977E12EF3}" name="Allocation USD" dataDxfId="21">
      <calculatedColumnFormula>G47*B$47</calculatedColumnFormula>
    </tableColumn>
  </tableColumns>
  <tableStyleInfo name="TableStyleMedium2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table" Target="../tables/table1.xml"/><Relationship Id="rId1" Type="http://schemas.openxmlformats.org/officeDocument/2006/relationships/hyperlink" Target="https://finance.yahoo.com/" TargetMode="Externa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4.xml"/><Relationship Id="rId2" Type="http://schemas.openxmlformats.org/officeDocument/2006/relationships/table" Target="../tables/table3.xml"/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table" Target="../tables/table6.xml"/><Relationship Id="rId2" Type="http://schemas.openxmlformats.org/officeDocument/2006/relationships/table" Target="../tables/table5.xml"/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8.xml"/><Relationship Id="rId1" Type="http://schemas.openxmlformats.org/officeDocument/2006/relationships/table" Target="../tables/table7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0.xml"/><Relationship Id="rId1" Type="http://schemas.openxmlformats.org/officeDocument/2006/relationships/table" Target="../tables/table9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32317A-75AE-2C47-9D1E-A837499359A4}">
  <dimension ref="A1:H30"/>
  <sheetViews>
    <sheetView tabSelected="1" topLeftCell="A2" workbookViewId="0">
      <selection activeCell="D29" sqref="D29"/>
    </sheetView>
  </sheetViews>
  <sheetFormatPr baseColWidth="10" defaultRowHeight="16" x14ac:dyDescent="0.2"/>
  <cols>
    <col min="1" max="1" width="34.83203125" style="3" customWidth="1"/>
    <col min="2" max="2" width="40" style="3" customWidth="1"/>
    <col min="3" max="3" width="21.6640625" style="3" bestFit="1" customWidth="1"/>
    <col min="4" max="4" width="31.1640625" style="3" customWidth="1"/>
    <col min="5" max="5" width="11.83203125" style="3" customWidth="1"/>
    <col min="6" max="6" width="24" style="3" customWidth="1"/>
    <col min="7" max="7" width="19.33203125" style="3" customWidth="1"/>
    <col min="8" max="8" width="17.1640625" style="3" customWidth="1"/>
    <col min="9" max="16384" width="10.83203125" style="3"/>
  </cols>
  <sheetData>
    <row r="1" spans="1:8" ht="17" thickBot="1" x14ac:dyDescent="0.25"/>
    <row r="2" spans="1:8" ht="17" thickBot="1" x14ac:dyDescent="0.25">
      <c r="A2" s="27" t="s">
        <v>19</v>
      </c>
      <c r="B2" s="28" t="s">
        <v>18</v>
      </c>
    </row>
    <row r="4" spans="1:8" x14ac:dyDescent="0.2">
      <c r="A4" s="75" t="s">
        <v>20</v>
      </c>
      <c r="B4" s="75"/>
      <c r="C4"/>
    </row>
    <row r="5" spans="1:8" x14ac:dyDescent="0.2">
      <c r="A5" s="75" t="s">
        <v>21</v>
      </c>
      <c r="B5" s="75"/>
      <c r="C5"/>
      <c r="E5" s="17">
        <v>0.8</v>
      </c>
      <c r="G5" s="17">
        <v>0.2</v>
      </c>
    </row>
    <row r="6" spans="1:8" x14ac:dyDescent="0.2">
      <c r="C6" s="8" t="s">
        <v>0</v>
      </c>
      <c r="D6" s="9" t="s">
        <v>14</v>
      </c>
      <c r="E6" s="9" t="s">
        <v>1</v>
      </c>
      <c r="F6" s="9" t="s">
        <v>15</v>
      </c>
      <c r="G6" s="9" t="s">
        <v>16</v>
      </c>
      <c r="H6" s="10" t="s">
        <v>2</v>
      </c>
    </row>
    <row r="7" spans="1:8" x14ac:dyDescent="0.2">
      <c r="C7" s="14" t="s">
        <v>3</v>
      </c>
      <c r="D7" s="15">
        <v>26.12</v>
      </c>
      <c r="E7" s="15">
        <v>11</v>
      </c>
      <c r="F7" s="15">
        <v>6.48</v>
      </c>
      <c r="G7" s="15">
        <v>8</v>
      </c>
      <c r="H7" s="16">
        <f>(Table2[[#This Row],[Rank]]*E$5)+(Table2[[#This Row],[Rank2]]*G$5)</f>
        <v>10.4</v>
      </c>
    </row>
    <row r="8" spans="1:8" x14ac:dyDescent="0.2">
      <c r="C8" s="14" t="s">
        <v>5</v>
      </c>
      <c r="D8" s="15">
        <v>23.41</v>
      </c>
      <c r="E8" s="15">
        <v>10</v>
      </c>
      <c r="F8" s="15">
        <v>7.44</v>
      </c>
      <c r="G8" s="15">
        <v>9</v>
      </c>
      <c r="H8" s="16">
        <f>(Table2[[#This Row],[Rank]]*E$5)+(Table2[[#This Row],[Rank2]]*G$5)</f>
        <v>9.8000000000000007</v>
      </c>
    </row>
    <row r="9" spans="1:8" x14ac:dyDescent="0.2">
      <c r="C9" s="14" t="s">
        <v>9</v>
      </c>
      <c r="D9" s="15">
        <v>20.350000000000001</v>
      </c>
      <c r="E9" s="15">
        <v>8</v>
      </c>
      <c r="F9" s="15">
        <v>10.33</v>
      </c>
      <c r="G9" s="15">
        <v>11</v>
      </c>
      <c r="H9" s="16">
        <f>(Table2[[#This Row],[Rank]]*E$5)+(Table2[[#This Row],[Rank2]]*G$5)</f>
        <v>8.6000000000000014</v>
      </c>
    </row>
    <row r="10" spans="1:8" x14ac:dyDescent="0.2">
      <c r="C10" s="14" t="s">
        <v>7</v>
      </c>
      <c r="D10" s="15">
        <v>20.58</v>
      </c>
      <c r="E10" s="15">
        <v>9</v>
      </c>
      <c r="F10" s="15">
        <v>2.69</v>
      </c>
      <c r="G10" s="15">
        <v>4</v>
      </c>
      <c r="H10" s="16">
        <f>(Table2[[#This Row],[Rank]]*E$5)+(Table2[[#This Row],[Rank2]]*G$5)</f>
        <v>8</v>
      </c>
    </row>
    <row r="11" spans="1:8" x14ac:dyDescent="0.2">
      <c r="C11" s="14" t="s">
        <v>4</v>
      </c>
      <c r="D11" s="15">
        <v>18.309999999999999</v>
      </c>
      <c r="E11" s="15">
        <v>6</v>
      </c>
      <c r="F11" s="15">
        <v>8.0299999999999994</v>
      </c>
      <c r="G11" s="15">
        <v>10</v>
      </c>
      <c r="H11" s="16">
        <f>(Table2[[#This Row],[Rank]]*E$5)+(Table2[[#This Row],[Rank2]]*G$5)</f>
        <v>6.8000000000000007</v>
      </c>
    </row>
    <row r="12" spans="1:8" x14ac:dyDescent="0.2">
      <c r="C12" s="14" t="s">
        <v>10</v>
      </c>
      <c r="D12" s="15">
        <v>19.98</v>
      </c>
      <c r="E12" s="15">
        <v>7</v>
      </c>
      <c r="F12" s="15">
        <v>-5.18</v>
      </c>
      <c r="G12" s="15">
        <v>1</v>
      </c>
      <c r="H12" s="16">
        <f>(Table2[[#This Row],[Rank]]*E$5)+(Table2[[#This Row],[Rank2]]*G$5)</f>
        <v>5.8000000000000007</v>
      </c>
    </row>
    <row r="13" spans="1:8" x14ac:dyDescent="0.2">
      <c r="C13" s="6" t="s">
        <v>6</v>
      </c>
      <c r="D13" s="5">
        <v>13.2</v>
      </c>
      <c r="E13" s="5">
        <v>5</v>
      </c>
      <c r="F13" s="5">
        <v>3.62</v>
      </c>
      <c r="G13" s="5">
        <v>5</v>
      </c>
      <c r="H13" s="7">
        <f>(Table2[[#This Row],[Rank]]*E$5)+(Table2[[#This Row],[Rank2]]*G$5)</f>
        <v>5</v>
      </c>
    </row>
    <row r="14" spans="1:8" x14ac:dyDescent="0.2">
      <c r="C14" s="6" t="s">
        <v>8</v>
      </c>
      <c r="D14" s="5">
        <v>7.37</v>
      </c>
      <c r="E14" s="5">
        <v>4</v>
      </c>
      <c r="F14" s="5">
        <v>4.47</v>
      </c>
      <c r="G14" s="5">
        <v>6</v>
      </c>
      <c r="H14" s="7">
        <f>(Table2[[#This Row],[Rank]]*E$5)+(Table2[[#This Row],[Rank2]]*G$5)</f>
        <v>4.4000000000000004</v>
      </c>
    </row>
    <row r="15" spans="1:8" x14ac:dyDescent="0.2">
      <c r="C15" s="6" t="s">
        <v>12</v>
      </c>
      <c r="D15" s="5">
        <v>-1.36</v>
      </c>
      <c r="E15" s="5">
        <v>3</v>
      </c>
      <c r="F15" s="5">
        <v>4.82</v>
      </c>
      <c r="G15" s="5">
        <v>7</v>
      </c>
      <c r="H15" s="7">
        <f>(Table2[[#This Row],[Rank]]*E$5)+(Table2[[#This Row],[Rank2]]*G$5)</f>
        <v>3.8000000000000007</v>
      </c>
    </row>
    <row r="16" spans="1:8" x14ac:dyDescent="0.2">
      <c r="C16" s="6" t="s">
        <v>13</v>
      </c>
      <c r="D16" s="5">
        <v>-4.6900000000000004</v>
      </c>
      <c r="E16" s="5">
        <v>2</v>
      </c>
      <c r="F16" s="5">
        <v>-1.88</v>
      </c>
      <c r="G16" s="5">
        <v>3</v>
      </c>
      <c r="H16" s="7">
        <f>(Table2[[#This Row],[Rank]]*E$5)+(Table2[[#This Row],[Rank2]]*G$5)</f>
        <v>2.2000000000000002</v>
      </c>
    </row>
    <row r="17" spans="3:8" x14ac:dyDescent="0.2">
      <c r="C17" s="11" t="s">
        <v>11</v>
      </c>
      <c r="D17" s="12">
        <v>-6.65</v>
      </c>
      <c r="E17" s="5">
        <v>1</v>
      </c>
      <c r="F17" s="12">
        <v>-1.94</v>
      </c>
      <c r="G17" s="12">
        <v>2</v>
      </c>
      <c r="H17" s="13">
        <f>(Table2[[#This Row],[Rank]]*E$5)+(Table2[[#This Row],[Rank2]]*G$5)</f>
        <v>1.2000000000000002</v>
      </c>
    </row>
    <row r="21" spans="3:8" x14ac:dyDescent="0.2">
      <c r="G21" s="17">
        <v>100000</v>
      </c>
    </row>
    <row r="22" spans="3:8" x14ac:dyDescent="0.2">
      <c r="C22" s="4"/>
    </row>
    <row r="23" spans="3:8" x14ac:dyDescent="0.2">
      <c r="C23" s="21" t="s">
        <v>1</v>
      </c>
      <c r="D23" s="22" t="s">
        <v>0</v>
      </c>
      <c r="E23" s="22" t="s">
        <v>2</v>
      </c>
      <c r="F23" s="22" t="s">
        <v>17</v>
      </c>
      <c r="G23" s="23" t="s">
        <v>78</v>
      </c>
    </row>
    <row r="24" spans="3:8" x14ac:dyDescent="0.2">
      <c r="C24" s="6">
        <v>1</v>
      </c>
      <c r="D24" s="15" t="s">
        <v>3</v>
      </c>
      <c r="E24" s="5">
        <v>10.4</v>
      </c>
      <c r="F24" s="19">
        <v>0.21</v>
      </c>
      <c r="G24" s="20">
        <f>F24*G$21</f>
        <v>21000</v>
      </c>
    </row>
    <row r="25" spans="3:8" x14ac:dyDescent="0.2">
      <c r="C25" s="6">
        <v>2</v>
      </c>
      <c r="D25" s="15" t="s">
        <v>5</v>
      </c>
      <c r="E25" s="5">
        <v>9.8000000000000007</v>
      </c>
      <c r="F25" s="19">
        <v>0.2</v>
      </c>
      <c r="G25" s="20">
        <f t="shared" ref="G25:G29" si="0">F25*G$21</f>
        <v>20000</v>
      </c>
      <c r="H25" s="18"/>
    </row>
    <row r="26" spans="3:8" x14ac:dyDescent="0.2">
      <c r="C26" s="6">
        <v>3</v>
      </c>
      <c r="D26" s="15" t="s">
        <v>9</v>
      </c>
      <c r="E26" s="5">
        <v>8.6000000000000014</v>
      </c>
      <c r="F26" s="19">
        <v>0.17</v>
      </c>
      <c r="G26" s="20">
        <f t="shared" si="0"/>
        <v>17000</v>
      </c>
      <c r="H26" s="18"/>
    </row>
    <row r="27" spans="3:8" x14ac:dyDescent="0.2">
      <c r="C27" s="6">
        <v>4</v>
      </c>
      <c r="D27" s="15" t="s">
        <v>7</v>
      </c>
      <c r="E27" s="5">
        <v>8</v>
      </c>
      <c r="F27" s="19">
        <v>0.16</v>
      </c>
      <c r="G27" s="20">
        <f t="shared" si="0"/>
        <v>16000</v>
      </c>
      <c r="H27" s="18"/>
    </row>
    <row r="28" spans="3:8" x14ac:dyDescent="0.2">
      <c r="C28" s="6">
        <v>5</v>
      </c>
      <c r="D28" s="15" t="s">
        <v>4</v>
      </c>
      <c r="E28" s="5">
        <v>6.8000000000000007</v>
      </c>
      <c r="F28" s="19">
        <v>0.14000000000000001</v>
      </c>
      <c r="G28" s="20">
        <f t="shared" si="0"/>
        <v>14000.000000000002</v>
      </c>
      <c r="H28" s="18"/>
    </row>
    <row r="29" spans="3:8" x14ac:dyDescent="0.2">
      <c r="C29" s="11">
        <v>6</v>
      </c>
      <c r="D29" s="24" t="s">
        <v>10</v>
      </c>
      <c r="E29" s="12">
        <v>5.8000000000000007</v>
      </c>
      <c r="F29" s="25">
        <v>0.12</v>
      </c>
      <c r="G29" s="26">
        <f t="shared" si="0"/>
        <v>12000</v>
      </c>
      <c r="H29" s="18"/>
    </row>
    <row r="30" spans="3:8" x14ac:dyDescent="0.2">
      <c r="E30" s="17">
        <f>SUM(E24:E29)</f>
        <v>49.400000000000006</v>
      </c>
      <c r="G30" s="17"/>
    </row>
  </sheetData>
  <mergeCells count="2">
    <mergeCell ref="A4:B4"/>
    <mergeCell ref="A5:B5"/>
  </mergeCells>
  <hyperlinks>
    <hyperlink ref="B2" r:id="rId1" xr:uid="{045C9337-F0E1-464B-9C57-82949221EBAE}"/>
  </hyperlinks>
  <pageMargins left="0.7" right="0.7" top="0.75" bottom="0.75" header="0.3" footer="0.3"/>
  <tableParts count="2">
    <tablePart r:id="rId2"/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A38A09-FEAC-BB40-AB4B-BFEE57E41A64}">
  <dimension ref="B18:X53"/>
  <sheetViews>
    <sheetView topLeftCell="A33" zoomScale="94" workbookViewId="0">
      <selection activeCell="I49" sqref="I49:I52"/>
    </sheetView>
  </sheetViews>
  <sheetFormatPr baseColWidth="10" defaultRowHeight="16" x14ac:dyDescent="0.2"/>
  <cols>
    <col min="4" max="4" width="6.33203125" customWidth="1"/>
    <col min="6" max="6" width="33" bestFit="1" customWidth="1"/>
    <col min="7" max="7" width="12" customWidth="1"/>
    <col min="8" max="8" width="30.33203125" bestFit="1" customWidth="1"/>
    <col min="9" max="9" width="69.1640625" bestFit="1" customWidth="1"/>
    <col min="10" max="10" width="19.33203125" customWidth="1"/>
    <col min="11" max="11" width="21.6640625" bestFit="1" customWidth="1"/>
    <col min="12" max="12" width="14.5" bestFit="1" customWidth="1"/>
    <col min="13" max="13" width="63" bestFit="1" customWidth="1"/>
    <col min="14" max="14" width="11.5" customWidth="1"/>
    <col min="15" max="15" width="21.1640625" bestFit="1" customWidth="1"/>
    <col min="16" max="16" width="21.1640625" customWidth="1"/>
    <col min="17" max="17" width="23.33203125" customWidth="1"/>
    <col min="18" max="18" width="28.33203125" customWidth="1"/>
    <col min="19" max="19" width="22.5" customWidth="1"/>
    <col min="20" max="20" width="27.5" customWidth="1"/>
    <col min="21" max="21" width="24.5" customWidth="1"/>
    <col min="22" max="22" width="29.1640625" customWidth="1"/>
    <col min="23" max="23" width="12.5" customWidth="1"/>
  </cols>
  <sheetData>
    <row r="18" spans="3:24" ht="17" thickBot="1" x14ac:dyDescent="0.25"/>
    <row r="19" spans="3:24" x14ac:dyDescent="0.2">
      <c r="F19" s="69" t="s">
        <v>92</v>
      </c>
      <c r="H19" s="76" t="s">
        <v>91</v>
      </c>
      <c r="I19" s="77"/>
      <c r="K19" s="78" t="s">
        <v>101</v>
      </c>
      <c r="L19" s="79"/>
      <c r="M19" s="80"/>
    </row>
    <row r="20" spans="3:24" ht="17" thickBot="1" x14ac:dyDescent="0.25">
      <c r="F20" s="70" t="s">
        <v>79</v>
      </c>
      <c r="H20" s="65" t="s">
        <v>81</v>
      </c>
      <c r="I20" s="66" t="s">
        <v>82</v>
      </c>
      <c r="K20" s="65" t="s">
        <v>32</v>
      </c>
      <c r="L20" s="71">
        <v>0.15</v>
      </c>
      <c r="M20" s="66" t="s">
        <v>93</v>
      </c>
    </row>
    <row r="21" spans="3:24" x14ac:dyDescent="0.2">
      <c r="H21" s="65" t="s">
        <v>83</v>
      </c>
      <c r="I21" s="66" t="s">
        <v>84</v>
      </c>
      <c r="K21" s="65" t="s">
        <v>31</v>
      </c>
      <c r="L21" s="71">
        <v>0.15</v>
      </c>
      <c r="M21" s="66" t="s">
        <v>94</v>
      </c>
    </row>
    <row r="22" spans="3:24" x14ac:dyDescent="0.2">
      <c r="H22" s="65" t="s">
        <v>85</v>
      </c>
      <c r="I22" s="66" t="s">
        <v>86</v>
      </c>
      <c r="K22" s="65" t="s">
        <v>95</v>
      </c>
      <c r="L22" s="71">
        <v>0.2</v>
      </c>
      <c r="M22" s="66" t="s">
        <v>96</v>
      </c>
    </row>
    <row r="23" spans="3:24" x14ac:dyDescent="0.2">
      <c r="H23" s="65" t="s">
        <v>87</v>
      </c>
      <c r="I23" s="66" t="s">
        <v>88</v>
      </c>
      <c r="K23" s="65" t="s">
        <v>80</v>
      </c>
      <c r="L23" s="71">
        <v>0.2</v>
      </c>
      <c r="M23" s="66" t="s">
        <v>97</v>
      </c>
    </row>
    <row r="24" spans="3:24" ht="17" thickBot="1" x14ac:dyDescent="0.25">
      <c r="H24" s="67" t="s">
        <v>80</v>
      </c>
      <c r="I24" s="68" t="s">
        <v>89</v>
      </c>
      <c r="K24" s="65" t="s">
        <v>98</v>
      </c>
      <c r="L24" s="71">
        <v>0.2</v>
      </c>
      <c r="M24" s="66" t="s">
        <v>99</v>
      </c>
    </row>
    <row r="25" spans="3:24" ht="17" thickBot="1" x14ac:dyDescent="0.25">
      <c r="H25" s="64"/>
      <c r="I25" s="64"/>
      <c r="K25" s="67" t="s">
        <v>90</v>
      </c>
      <c r="L25" s="72">
        <v>0.1</v>
      </c>
      <c r="M25" s="68" t="s">
        <v>100</v>
      </c>
    </row>
    <row r="28" spans="3:24" ht="17" thickBot="1" x14ac:dyDescent="0.25"/>
    <row r="29" spans="3:24" x14ac:dyDescent="0.2">
      <c r="C29" s="30"/>
      <c r="D29" s="31"/>
      <c r="E29" s="31"/>
      <c r="F29" s="31"/>
      <c r="G29" s="31"/>
      <c r="H29" s="31"/>
      <c r="I29" s="31"/>
      <c r="J29" s="31"/>
      <c r="K29" s="31"/>
      <c r="L29" s="31"/>
      <c r="M29" s="31"/>
      <c r="N29" s="31"/>
      <c r="O29" s="31"/>
      <c r="P29" s="31"/>
      <c r="Q29" s="31"/>
      <c r="R29" s="31"/>
      <c r="S29" s="31"/>
      <c r="T29" s="31"/>
      <c r="U29" s="31"/>
      <c r="V29" s="31"/>
      <c r="W29" s="31"/>
      <c r="X29" s="32"/>
    </row>
    <row r="30" spans="3:24" x14ac:dyDescent="0.2">
      <c r="C30" s="33"/>
      <c r="K30" s="29" t="s">
        <v>73</v>
      </c>
      <c r="M30" s="29" t="s">
        <v>73</v>
      </c>
      <c r="O30" s="29" t="s">
        <v>73</v>
      </c>
      <c r="Q30" s="29" t="s">
        <v>73</v>
      </c>
      <c r="S30" s="29" t="s">
        <v>73</v>
      </c>
      <c r="U30" s="29" t="s">
        <v>73</v>
      </c>
      <c r="X30" s="1"/>
    </row>
    <row r="31" spans="3:24" s="29" customFormat="1" x14ac:dyDescent="0.2">
      <c r="C31" s="41"/>
      <c r="K31" s="42">
        <v>0.15</v>
      </c>
      <c r="M31" s="42">
        <v>0.15</v>
      </c>
      <c r="O31" s="42">
        <v>0.1</v>
      </c>
      <c r="Q31" s="42">
        <v>0.2</v>
      </c>
      <c r="S31" s="42">
        <v>0.2</v>
      </c>
      <c r="U31" s="42">
        <v>0.2</v>
      </c>
      <c r="X31" s="43"/>
    </row>
    <row r="32" spans="3:24" x14ac:dyDescent="0.2">
      <c r="C32" s="33"/>
      <c r="D32" s="50" t="s">
        <v>26</v>
      </c>
      <c r="E32" s="51" t="s">
        <v>27</v>
      </c>
      <c r="F32" s="51" t="s">
        <v>28</v>
      </c>
      <c r="G32" s="51" t="s">
        <v>0</v>
      </c>
      <c r="H32" s="51" t="s">
        <v>29</v>
      </c>
      <c r="I32" s="51" t="s">
        <v>30</v>
      </c>
      <c r="J32" s="51" t="s">
        <v>66</v>
      </c>
      <c r="K32" s="51" t="s">
        <v>32</v>
      </c>
      <c r="L32" s="52" t="s">
        <v>67</v>
      </c>
      <c r="M32" s="52" t="s">
        <v>31</v>
      </c>
      <c r="N32" s="52" t="s">
        <v>68</v>
      </c>
      <c r="O32" s="52" t="s">
        <v>64</v>
      </c>
      <c r="P32" s="52" t="s">
        <v>72</v>
      </c>
      <c r="Q32" s="52" t="s">
        <v>34</v>
      </c>
      <c r="R32" s="52" t="s">
        <v>69</v>
      </c>
      <c r="S32" s="52" t="s">
        <v>33</v>
      </c>
      <c r="T32" s="52" t="s">
        <v>70</v>
      </c>
      <c r="U32" s="52" t="s">
        <v>65</v>
      </c>
      <c r="V32" s="52" t="s">
        <v>71</v>
      </c>
      <c r="W32" s="52" t="s">
        <v>2</v>
      </c>
      <c r="X32" s="1"/>
    </row>
    <row r="33" spans="2:24" x14ac:dyDescent="0.2">
      <c r="C33" s="33"/>
      <c r="D33" s="29">
        <v>7</v>
      </c>
      <c r="E33" s="29" t="s">
        <v>49</v>
      </c>
      <c r="F33" s="29" t="s">
        <v>50</v>
      </c>
      <c r="G33" s="29" t="s">
        <v>22</v>
      </c>
      <c r="H33" s="29" t="s">
        <v>51</v>
      </c>
      <c r="I33" s="29" t="s">
        <v>24</v>
      </c>
      <c r="J33" s="29">
        <v>69.91</v>
      </c>
      <c r="K33" s="29">
        <v>11.11</v>
      </c>
      <c r="L33" s="29">
        <v>4</v>
      </c>
      <c r="M33" s="29">
        <v>1.31</v>
      </c>
      <c r="N33" s="29">
        <v>5</v>
      </c>
      <c r="O33" s="34">
        <v>4.5199999999999997E-2</v>
      </c>
      <c r="P33" s="35">
        <v>5</v>
      </c>
      <c r="Q33" s="36">
        <v>0.3251</v>
      </c>
      <c r="R33" s="35">
        <v>4</v>
      </c>
      <c r="S33" s="34">
        <v>0.115</v>
      </c>
      <c r="T33" s="35">
        <v>3</v>
      </c>
      <c r="U33" s="29">
        <v>44.87</v>
      </c>
      <c r="V33" s="29">
        <v>5</v>
      </c>
      <c r="W33" s="29">
        <f t="shared" ref="W33:W45" si="0">(L33*K$31)+(N33*M$31)+(P33*O$31)+(R33*Q$31)+(T33*S$31)+(V33*U$31)</f>
        <v>4.25</v>
      </c>
      <c r="X33" s="1"/>
    </row>
    <row r="34" spans="2:24" x14ac:dyDescent="0.2">
      <c r="C34" s="33"/>
      <c r="D34" s="29">
        <v>2</v>
      </c>
      <c r="E34" s="29" t="s">
        <v>38</v>
      </c>
      <c r="F34" s="29" t="s">
        <v>39</v>
      </c>
      <c r="G34" s="29" t="s">
        <v>22</v>
      </c>
      <c r="H34" s="29" t="s">
        <v>25</v>
      </c>
      <c r="I34" s="29" t="s">
        <v>24</v>
      </c>
      <c r="J34" s="29">
        <v>21.15</v>
      </c>
      <c r="K34" s="29">
        <v>10.15</v>
      </c>
      <c r="L34" s="29">
        <v>5</v>
      </c>
      <c r="M34" s="29">
        <v>1.76</v>
      </c>
      <c r="N34" s="29">
        <v>3</v>
      </c>
      <c r="O34" s="34">
        <v>2.8199999999999999E-2</v>
      </c>
      <c r="P34" s="35">
        <v>2</v>
      </c>
      <c r="Q34" s="36">
        <v>0.98509999999999998</v>
      </c>
      <c r="R34" s="35">
        <v>5</v>
      </c>
      <c r="S34" s="34">
        <v>0.1754</v>
      </c>
      <c r="T34" s="35">
        <v>4</v>
      </c>
      <c r="U34" s="29">
        <v>108.72</v>
      </c>
      <c r="V34" s="29">
        <v>4</v>
      </c>
      <c r="W34" s="29">
        <f t="shared" si="0"/>
        <v>4</v>
      </c>
      <c r="X34" s="1"/>
    </row>
    <row r="35" spans="2:24" x14ac:dyDescent="0.2">
      <c r="C35" s="33"/>
      <c r="D35" s="29">
        <v>1</v>
      </c>
      <c r="E35" s="29" t="s">
        <v>35</v>
      </c>
      <c r="F35" s="29" t="s">
        <v>36</v>
      </c>
      <c r="G35" s="29" t="s">
        <v>22</v>
      </c>
      <c r="H35" s="29" t="s">
        <v>37</v>
      </c>
      <c r="I35" s="29" t="s">
        <v>24</v>
      </c>
      <c r="J35" s="29">
        <v>9.9600000000000009</v>
      </c>
      <c r="K35" s="29">
        <v>9.82</v>
      </c>
      <c r="L35" s="29">
        <v>5</v>
      </c>
      <c r="M35" s="29">
        <v>1.84</v>
      </c>
      <c r="N35" s="29">
        <v>3</v>
      </c>
      <c r="O35" s="34">
        <v>8.6999999999999994E-3</v>
      </c>
      <c r="P35" s="35">
        <v>1</v>
      </c>
      <c r="Q35" s="36">
        <v>0.12740000000000001</v>
      </c>
      <c r="R35" s="35">
        <v>1</v>
      </c>
      <c r="S35" s="34">
        <v>0.20469999999999999</v>
      </c>
      <c r="T35" s="35">
        <v>5</v>
      </c>
      <c r="U35" s="29">
        <v>120.66</v>
      </c>
      <c r="V35" s="29">
        <v>5</v>
      </c>
      <c r="W35" s="29">
        <f t="shared" si="0"/>
        <v>3.5</v>
      </c>
      <c r="X35" s="1"/>
    </row>
    <row r="36" spans="2:24" x14ac:dyDescent="0.2">
      <c r="C36" s="33"/>
      <c r="D36" s="29">
        <v>8</v>
      </c>
      <c r="E36" s="29" t="s">
        <v>52</v>
      </c>
      <c r="F36" s="29" t="s">
        <v>53</v>
      </c>
      <c r="G36" s="29" t="s">
        <v>22</v>
      </c>
      <c r="H36" s="29" t="s">
        <v>51</v>
      </c>
      <c r="I36" s="29" t="s">
        <v>24</v>
      </c>
      <c r="J36" s="29">
        <v>19.86</v>
      </c>
      <c r="K36" s="29">
        <v>10.66</v>
      </c>
      <c r="L36" s="29">
        <v>4</v>
      </c>
      <c r="M36" s="29">
        <v>1.18</v>
      </c>
      <c r="N36" s="29">
        <v>5</v>
      </c>
      <c r="O36" s="34">
        <v>4.65E-2</v>
      </c>
      <c r="P36" s="35">
        <v>5</v>
      </c>
      <c r="Q36" s="36">
        <v>0.37509999999999999</v>
      </c>
      <c r="R36" s="35">
        <v>4</v>
      </c>
      <c r="S36" s="34">
        <v>0.1133</v>
      </c>
      <c r="T36" s="35">
        <v>2</v>
      </c>
      <c r="U36" s="29">
        <v>22.09</v>
      </c>
      <c r="V36" s="29">
        <v>2</v>
      </c>
      <c r="W36" s="29">
        <f t="shared" si="0"/>
        <v>3.45</v>
      </c>
      <c r="X36" s="1"/>
    </row>
    <row r="37" spans="2:24" x14ac:dyDescent="0.2">
      <c r="C37" s="33"/>
      <c r="D37" s="29">
        <v>10</v>
      </c>
      <c r="E37" s="29" t="s">
        <v>56</v>
      </c>
      <c r="F37" s="29" t="s">
        <v>57</v>
      </c>
      <c r="G37" s="29" t="s">
        <v>22</v>
      </c>
      <c r="H37" s="29" t="s">
        <v>25</v>
      </c>
      <c r="I37" s="29" t="s">
        <v>24</v>
      </c>
      <c r="J37" s="29">
        <v>28.19</v>
      </c>
      <c r="K37" s="29">
        <v>11.1</v>
      </c>
      <c r="L37" s="29">
        <v>4</v>
      </c>
      <c r="M37" s="29">
        <v>1.23</v>
      </c>
      <c r="N37" s="29">
        <v>5</v>
      </c>
      <c r="O37" s="34">
        <v>3.1600000000000003E-2</v>
      </c>
      <c r="P37" s="35">
        <v>4</v>
      </c>
      <c r="Q37" s="36">
        <v>0.49270000000000003</v>
      </c>
      <c r="R37" s="35">
        <v>4</v>
      </c>
      <c r="S37" s="34">
        <v>0.11210000000000001</v>
      </c>
      <c r="T37" s="35">
        <v>2</v>
      </c>
      <c r="U37" s="29">
        <v>98.86</v>
      </c>
      <c r="V37" s="29">
        <v>2</v>
      </c>
      <c r="W37" s="29">
        <f t="shared" si="0"/>
        <v>3.3499999999999996</v>
      </c>
      <c r="X37" s="1"/>
    </row>
    <row r="38" spans="2:24" x14ac:dyDescent="0.2">
      <c r="C38" s="33"/>
      <c r="D38" s="29">
        <v>6</v>
      </c>
      <c r="E38" s="29" t="s">
        <v>47</v>
      </c>
      <c r="F38" s="29" t="s">
        <v>48</v>
      </c>
      <c r="G38" s="29" t="s">
        <v>22</v>
      </c>
      <c r="H38" s="29" t="s">
        <v>23</v>
      </c>
      <c r="I38" s="29" t="s">
        <v>24</v>
      </c>
      <c r="J38" s="29">
        <v>188.25</v>
      </c>
      <c r="K38" s="29">
        <v>14.24</v>
      </c>
      <c r="L38" s="29">
        <v>2</v>
      </c>
      <c r="M38" s="29">
        <v>1.73</v>
      </c>
      <c r="N38" s="29">
        <v>3</v>
      </c>
      <c r="O38" s="34">
        <v>2.0400000000000001E-2</v>
      </c>
      <c r="P38" s="35">
        <v>2</v>
      </c>
      <c r="Q38" s="36">
        <v>0.2198</v>
      </c>
      <c r="R38" s="35">
        <v>2</v>
      </c>
      <c r="S38" s="34">
        <v>0.1226</v>
      </c>
      <c r="T38" s="35">
        <v>3</v>
      </c>
      <c r="U38" s="29">
        <v>613.52</v>
      </c>
      <c r="V38" s="29">
        <v>5</v>
      </c>
      <c r="W38" s="29">
        <f t="shared" si="0"/>
        <v>2.95</v>
      </c>
      <c r="X38" s="1"/>
    </row>
    <row r="39" spans="2:24" x14ac:dyDescent="0.2">
      <c r="C39" s="33"/>
      <c r="D39" s="29">
        <v>9</v>
      </c>
      <c r="E39" s="29" t="s">
        <v>54</v>
      </c>
      <c r="F39" s="29" t="s">
        <v>55</v>
      </c>
      <c r="G39" s="29" t="s">
        <v>22</v>
      </c>
      <c r="H39" s="29" t="s">
        <v>42</v>
      </c>
      <c r="I39" s="29" t="s">
        <v>24</v>
      </c>
      <c r="J39" s="29">
        <v>64.400000000000006</v>
      </c>
      <c r="K39" s="29">
        <v>14.67</v>
      </c>
      <c r="L39" s="29">
        <v>2</v>
      </c>
      <c r="M39" s="29">
        <v>1.7</v>
      </c>
      <c r="N39" s="29">
        <v>3</v>
      </c>
      <c r="O39" s="34">
        <v>2.1700000000000001E-2</v>
      </c>
      <c r="P39" s="35">
        <v>2</v>
      </c>
      <c r="Q39" s="36">
        <v>0.26350000000000001</v>
      </c>
      <c r="R39" s="35">
        <v>3</v>
      </c>
      <c r="S39" s="34">
        <v>0.1129</v>
      </c>
      <c r="T39" s="35">
        <v>2</v>
      </c>
      <c r="U39" s="29">
        <v>90.01</v>
      </c>
      <c r="V39" s="29">
        <v>5</v>
      </c>
      <c r="W39" s="29">
        <f t="shared" si="0"/>
        <v>2.95</v>
      </c>
      <c r="X39" s="1"/>
    </row>
    <row r="40" spans="2:24" x14ac:dyDescent="0.2">
      <c r="C40" s="33"/>
      <c r="D40" s="29">
        <v>13</v>
      </c>
      <c r="E40" s="29" t="s">
        <v>62</v>
      </c>
      <c r="F40" s="29" t="s">
        <v>63</v>
      </c>
      <c r="G40" s="29" t="s">
        <v>22</v>
      </c>
      <c r="H40" s="29" t="s">
        <v>51</v>
      </c>
      <c r="I40" s="29" t="s">
        <v>24</v>
      </c>
      <c r="J40" s="29">
        <v>23.62</v>
      </c>
      <c r="K40" s="29">
        <v>12.5</v>
      </c>
      <c r="L40" s="29">
        <v>3</v>
      </c>
      <c r="M40" s="29">
        <v>1.28</v>
      </c>
      <c r="N40" s="29">
        <v>5</v>
      </c>
      <c r="O40" s="34">
        <v>3.9100000000000003E-2</v>
      </c>
      <c r="P40" s="35">
        <v>4</v>
      </c>
      <c r="Q40" s="36">
        <v>0.29770000000000002</v>
      </c>
      <c r="R40" s="35">
        <v>3</v>
      </c>
      <c r="S40" s="34">
        <v>0.10299999999999999</v>
      </c>
      <c r="T40" s="35">
        <v>1</v>
      </c>
      <c r="U40" s="29">
        <v>16.22</v>
      </c>
      <c r="V40" s="29">
        <v>2</v>
      </c>
      <c r="W40" s="29">
        <f t="shared" si="0"/>
        <v>2.8000000000000003</v>
      </c>
      <c r="X40" s="1"/>
    </row>
    <row r="41" spans="2:24" x14ac:dyDescent="0.2">
      <c r="C41" s="33"/>
      <c r="D41" s="29">
        <v>4</v>
      </c>
      <c r="E41" s="29" t="s">
        <v>43</v>
      </c>
      <c r="F41" s="29" t="s">
        <v>44</v>
      </c>
      <c r="G41" s="29" t="s">
        <v>22</v>
      </c>
      <c r="H41" s="29" t="s">
        <v>37</v>
      </c>
      <c r="I41" s="29" t="s">
        <v>24</v>
      </c>
      <c r="J41" s="29">
        <v>53.45</v>
      </c>
      <c r="K41" s="29">
        <v>12.96</v>
      </c>
      <c r="L41" s="29">
        <v>3</v>
      </c>
      <c r="M41" s="29">
        <v>1.95</v>
      </c>
      <c r="N41" s="29">
        <v>3</v>
      </c>
      <c r="O41" s="34">
        <v>2.8400000000000002E-2</v>
      </c>
      <c r="P41" s="35">
        <v>2</v>
      </c>
      <c r="Q41" s="36">
        <v>0.16500000000000001</v>
      </c>
      <c r="R41" s="35">
        <v>1</v>
      </c>
      <c r="S41" s="34">
        <v>0.1608</v>
      </c>
      <c r="T41" s="35">
        <v>4</v>
      </c>
      <c r="U41" s="29">
        <v>79.62</v>
      </c>
      <c r="V41" s="29">
        <v>3</v>
      </c>
      <c r="W41" s="29">
        <f t="shared" si="0"/>
        <v>2.6999999999999997</v>
      </c>
      <c r="X41" s="1"/>
    </row>
    <row r="42" spans="2:24" x14ac:dyDescent="0.2">
      <c r="C42" s="33"/>
      <c r="D42" s="29">
        <v>5</v>
      </c>
      <c r="E42" s="29" t="s">
        <v>45</v>
      </c>
      <c r="F42" s="29" t="s">
        <v>46</v>
      </c>
      <c r="G42" s="29" t="s">
        <v>22</v>
      </c>
      <c r="H42" s="29" t="s">
        <v>23</v>
      </c>
      <c r="I42" s="29" t="s">
        <v>24</v>
      </c>
      <c r="J42" s="29">
        <v>211.69</v>
      </c>
      <c r="K42" s="29">
        <v>15.48</v>
      </c>
      <c r="L42" s="29">
        <v>1</v>
      </c>
      <c r="M42" s="29">
        <v>2.1800000000000002</v>
      </c>
      <c r="N42" s="29">
        <v>2</v>
      </c>
      <c r="O42" s="34">
        <v>2.92E-2</v>
      </c>
      <c r="P42" s="35">
        <v>2</v>
      </c>
      <c r="Q42" s="36">
        <v>0.28560000000000002</v>
      </c>
      <c r="R42" s="35">
        <v>3</v>
      </c>
      <c r="S42" s="34">
        <v>0.13880000000000001</v>
      </c>
      <c r="T42" s="35">
        <v>3</v>
      </c>
      <c r="U42" s="29">
        <v>131.94999999999999</v>
      </c>
      <c r="V42" s="29">
        <v>4</v>
      </c>
      <c r="W42" s="29">
        <f t="shared" si="0"/>
        <v>2.6500000000000004</v>
      </c>
      <c r="X42" s="1"/>
    </row>
    <row r="43" spans="2:24" x14ac:dyDescent="0.2">
      <c r="C43" s="33"/>
      <c r="D43" s="29">
        <v>11</v>
      </c>
      <c r="E43" s="29" t="s">
        <v>58</v>
      </c>
      <c r="F43" s="29" t="s">
        <v>59</v>
      </c>
      <c r="G43" s="29" t="s">
        <v>22</v>
      </c>
      <c r="H43" s="29" t="s">
        <v>51</v>
      </c>
      <c r="I43" s="29" t="s">
        <v>24</v>
      </c>
      <c r="J43" s="29">
        <v>70.7</v>
      </c>
      <c r="K43" s="29">
        <v>12.62</v>
      </c>
      <c r="L43" s="29">
        <v>3</v>
      </c>
      <c r="M43" s="29">
        <v>1.4</v>
      </c>
      <c r="N43" s="29">
        <v>4</v>
      </c>
      <c r="O43" s="34">
        <v>3.6600000000000001E-2</v>
      </c>
      <c r="P43" s="35">
        <v>4</v>
      </c>
      <c r="Q43" s="36">
        <v>0.13389999999999999</v>
      </c>
      <c r="R43" s="35">
        <v>1</v>
      </c>
      <c r="S43" s="34">
        <v>0.1115</v>
      </c>
      <c r="T43" s="35">
        <v>2</v>
      </c>
      <c r="U43" s="29">
        <v>178.74</v>
      </c>
      <c r="V43" s="29">
        <v>3</v>
      </c>
      <c r="W43" s="29">
        <f t="shared" si="0"/>
        <v>2.65</v>
      </c>
      <c r="X43" s="1"/>
    </row>
    <row r="44" spans="2:24" x14ac:dyDescent="0.2">
      <c r="C44" s="33"/>
      <c r="D44" s="29">
        <v>3</v>
      </c>
      <c r="E44" s="29" t="s">
        <v>40</v>
      </c>
      <c r="F44" s="29" t="s">
        <v>41</v>
      </c>
      <c r="G44" s="29" t="s">
        <v>22</v>
      </c>
      <c r="H44" s="29" t="s">
        <v>42</v>
      </c>
      <c r="I44" s="29" t="s">
        <v>24</v>
      </c>
      <c r="J44" s="29">
        <v>741.3</v>
      </c>
      <c r="K44" s="29">
        <v>13.09</v>
      </c>
      <c r="L44" s="29">
        <v>3</v>
      </c>
      <c r="M44" s="29">
        <v>2.2400000000000002</v>
      </c>
      <c r="N44" s="29">
        <v>2</v>
      </c>
      <c r="O44" s="34">
        <v>2.1299999999999999E-2</v>
      </c>
      <c r="P44" s="29">
        <v>2</v>
      </c>
      <c r="Q44" s="36">
        <v>0.1409</v>
      </c>
      <c r="R44" s="35">
        <v>1</v>
      </c>
      <c r="S44" s="34">
        <v>0.17249999999999999</v>
      </c>
      <c r="T44" s="35">
        <v>4</v>
      </c>
      <c r="U44" s="29">
        <v>266.74</v>
      </c>
      <c r="V44" s="29">
        <v>3</v>
      </c>
      <c r="W44" s="29">
        <f t="shared" si="0"/>
        <v>2.5499999999999998</v>
      </c>
      <c r="X44" s="1"/>
    </row>
    <row r="45" spans="2:24" x14ac:dyDescent="0.2">
      <c r="C45" s="33"/>
      <c r="D45" s="29">
        <v>12</v>
      </c>
      <c r="E45" s="29" t="s">
        <v>60</v>
      </c>
      <c r="F45" s="29" t="s">
        <v>61</v>
      </c>
      <c r="G45" s="29" t="s">
        <v>22</v>
      </c>
      <c r="H45" s="29" t="s">
        <v>42</v>
      </c>
      <c r="I45" s="29" t="s">
        <v>24</v>
      </c>
      <c r="J45" s="29">
        <v>248.81</v>
      </c>
      <c r="K45" s="29">
        <v>13.74</v>
      </c>
      <c r="L45" s="29">
        <v>3</v>
      </c>
      <c r="M45" s="29">
        <v>1.53</v>
      </c>
      <c r="N45" s="29">
        <v>4</v>
      </c>
      <c r="O45" s="34">
        <v>2.2200000000000001E-2</v>
      </c>
      <c r="P45" s="35">
        <v>2</v>
      </c>
      <c r="Q45" s="36">
        <v>0.16</v>
      </c>
      <c r="R45" s="35">
        <v>1</v>
      </c>
      <c r="S45" s="34">
        <v>0.1105</v>
      </c>
      <c r="T45" s="35">
        <v>2</v>
      </c>
      <c r="U45" s="29">
        <v>76.459999999999994</v>
      </c>
      <c r="V45" s="29">
        <v>2</v>
      </c>
      <c r="W45" s="29">
        <f t="shared" si="0"/>
        <v>2.2499999999999996</v>
      </c>
      <c r="X45" s="1"/>
    </row>
    <row r="46" spans="2:24" ht="17" thickBot="1" x14ac:dyDescent="0.25">
      <c r="C46" s="37"/>
      <c r="D46" s="38"/>
      <c r="E46" s="38"/>
      <c r="F46" s="38"/>
      <c r="G46" s="38"/>
      <c r="H46" s="38"/>
      <c r="I46" s="38"/>
      <c r="J46" s="38"/>
      <c r="K46" s="39">
        <f>MEDIAN(K33:K45)</f>
        <v>12.62</v>
      </c>
      <c r="L46" s="38"/>
      <c r="M46" s="39">
        <f>MEDIAN(M33:M45)</f>
        <v>1.7</v>
      </c>
      <c r="N46" s="38"/>
      <c r="O46" s="38"/>
      <c r="P46" s="38"/>
      <c r="Q46" s="38"/>
      <c r="R46" s="38"/>
      <c r="S46" s="40"/>
      <c r="T46" s="38"/>
      <c r="U46" s="38"/>
      <c r="V46" s="38"/>
      <c r="W46" s="38"/>
      <c r="X46" s="2"/>
    </row>
    <row r="47" spans="2:24" ht="17" thickBot="1" x14ac:dyDescent="0.25"/>
    <row r="48" spans="2:24" x14ac:dyDescent="0.2">
      <c r="B48" s="46" t="s">
        <v>77</v>
      </c>
      <c r="C48" s="47" t="s">
        <v>76</v>
      </c>
      <c r="E48" s="58" t="s">
        <v>27</v>
      </c>
      <c r="F48" s="59" t="s">
        <v>28</v>
      </c>
      <c r="G48" s="60" t="s">
        <v>2</v>
      </c>
      <c r="H48" s="60" t="s">
        <v>74</v>
      </c>
      <c r="I48" s="63" t="s">
        <v>78</v>
      </c>
      <c r="J48" s="53"/>
    </row>
    <row r="49" spans="2:9" ht="17" thickBot="1" x14ac:dyDescent="0.25">
      <c r="B49" s="44" t="s">
        <v>75</v>
      </c>
      <c r="C49" s="45">
        <v>21000</v>
      </c>
      <c r="E49" s="54" t="s">
        <v>49</v>
      </c>
      <c r="F49" s="48" t="s">
        <v>50</v>
      </c>
      <c r="G49" s="48">
        <v>4.25</v>
      </c>
      <c r="H49" s="49">
        <f>G49/G$53</f>
        <v>0.27960526315789475</v>
      </c>
      <c r="I49" s="61">
        <f>H49*C$49</f>
        <v>5871.71052631579</v>
      </c>
    </row>
    <row r="50" spans="2:9" x14ac:dyDescent="0.2">
      <c r="E50" s="54" t="s">
        <v>38</v>
      </c>
      <c r="F50" s="48" t="s">
        <v>39</v>
      </c>
      <c r="G50" s="48">
        <v>4</v>
      </c>
      <c r="H50" s="49">
        <f t="shared" ref="H50:H52" si="1">G50/G$53</f>
        <v>0.26315789473684209</v>
      </c>
      <c r="I50" s="61">
        <f t="shared" ref="I50:I52" si="2">H50*C$49</f>
        <v>5526.3157894736842</v>
      </c>
    </row>
    <row r="51" spans="2:9" x14ac:dyDescent="0.2">
      <c r="E51" s="54" t="s">
        <v>35</v>
      </c>
      <c r="F51" s="48" t="s">
        <v>36</v>
      </c>
      <c r="G51" s="48">
        <v>3.5</v>
      </c>
      <c r="H51" s="49">
        <f t="shared" si="1"/>
        <v>0.23026315789473686</v>
      </c>
      <c r="I51" s="61">
        <f t="shared" si="2"/>
        <v>4835.5263157894742</v>
      </c>
    </row>
    <row r="52" spans="2:9" x14ac:dyDescent="0.2">
      <c r="E52" s="55" t="s">
        <v>52</v>
      </c>
      <c r="F52" s="56" t="s">
        <v>53</v>
      </c>
      <c r="G52" s="56">
        <v>3.45</v>
      </c>
      <c r="H52" s="57">
        <f t="shared" si="1"/>
        <v>0.22697368421052633</v>
      </c>
      <c r="I52" s="62">
        <f t="shared" si="2"/>
        <v>4766.4473684210525</v>
      </c>
    </row>
    <row r="53" spans="2:9" x14ac:dyDescent="0.2">
      <c r="G53" s="29">
        <f>SUM(G49:G52)</f>
        <v>15.2</v>
      </c>
    </row>
  </sheetData>
  <sortState xmlns:xlrd2="http://schemas.microsoft.com/office/spreadsheetml/2017/richdata2" ref="W33:W45">
    <sortCondition descending="1" ref="W33:W45"/>
  </sortState>
  <mergeCells count="2">
    <mergeCell ref="H19:I19"/>
    <mergeCell ref="K19:M19"/>
  </mergeCells>
  <pageMargins left="0.7" right="0.7" top="0.75" bottom="0.75" header="0.3" footer="0.3"/>
  <drawing r:id="rId1"/>
  <tableParts count="2">
    <tablePart r:id="rId2"/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ABF854-B3EB-664B-A101-B5117A56E375}">
  <dimension ref="A23:W41"/>
  <sheetViews>
    <sheetView topLeftCell="A10" workbookViewId="0">
      <selection activeCell="B38" sqref="B38"/>
    </sheetView>
  </sheetViews>
  <sheetFormatPr baseColWidth="10" defaultRowHeight="16" x14ac:dyDescent="0.2"/>
  <cols>
    <col min="1" max="1" width="21.6640625" style="29" bestFit="1" customWidth="1"/>
    <col min="2" max="4" width="10.83203125" style="29"/>
    <col min="5" max="5" width="24.83203125" style="29" bestFit="1" customWidth="1"/>
    <col min="6" max="6" width="28.5" style="29" bestFit="1" customWidth="1"/>
    <col min="7" max="7" width="24.83203125" style="29" bestFit="1" customWidth="1"/>
    <col min="8" max="9" width="26.1640625" style="29" bestFit="1" customWidth="1"/>
    <col min="10" max="10" width="22.1640625" style="29" bestFit="1" customWidth="1"/>
    <col min="11" max="11" width="10.83203125" style="29"/>
    <col min="12" max="12" width="14" style="29" bestFit="1" customWidth="1"/>
    <col min="13" max="13" width="10.83203125" style="29"/>
    <col min="14" max="14" width="14.1640625" style="29" bestFit="1" customWidth="1"/>
    <col min="15" max="15" width="19.33203125" style="29" bestFit="1" customWidth="1"/>
    <col min="16" max="16" width="22.6640625" style="29" bestFit="1" customWidth="1"/>
    <col min="17" max="17" width="26.1640625" style="29" bestFit="1" customWidth="1"/>
    <col min="18" max="18" width="31.33203125" style="29" bestFit="1" customWidth="1"/>
    <col min="19" max="19" width="25.33203125" style="29" bestFit="1" customWidth="1"/>
    <col min="20" max="20" width="30.5" style="29" bestFit="1" customWidth="1"/>
    <col min="21" max="21" width="27.5" style="29" bestFit="1" customWidth="1"/>
    <col min="22" max="22" width="32.33203125" style="29" bestFit="1" customWidth="1"/>
    <col min="23" max="16384" width="10.83203125" style="29"/>
  </cols>
  <sheetData>
    <row r="23" spans="4:23" x14ac:dyDescent="0.2">
      <c r="K23" s="29" t="s">
        <v>73</v>
      </c>
      <c r="L23"/>
      <c r="M23" s="29" t="s">
        <v>73</v>
      </c>
      <c r="N23"/>
      <c r="O23" s="29" t="s">
        <v>73</v>
      </c>
      <c r="P23"/>
      <c r="Q23" s="29" t="s">
        <v>73</v>
      </c>
      <c r="S23" s="29" t="s">
        <v>73</v>
      </c>
      <c r="U23" s="29" t="s">
        <v>73</v>
      </c>
    </row>
    <row r="24" spans="4:23" x14ac:dyDescent="0.2">
      <c r="K24" s="42">
        <v>0.15</v>
      </c>
      <c r="M24" s="42">
        <v>0.15</v>
      </c>
      <c r="O24" s="42">
        <v>0.1</v>
      </c>
      <c r="Q24" s="42">
        <v>0.2</v>
      </c>
      <c r="S24" s="42">
        <v>0.2</v>
      </c>
      <c r="U24" s="42">
        <v>0.2</v>
      </c>
    </row>
    <row r="25" spans="4:23" x14ac:dyDescent="0.2">
      <c r="D25" s="50" t="s">
        <v>26</v>
      </c>
      <c r="E25" s="51" t="s">
        <v>27</v>
      </c>
      <c r="F25" s="51" t="s">
        <v>28</v>
      </c>
      <c r="G25" s="51" t="s">
        <v>0</v>
      </c>
      <c r="H25" s="51" t="s">
        <v>29</v>
      </c>
      <c r="I25" s="51" t="s">
        <v>30</v>
      </c>
      <c r="J25" s="51" t="s">
        <v>66</v>
      </c>
      <c r="K25" s="51" t="s">
        <v>32</v>
      </c>
      <c r="L25" s="52" t="s">
        <v>67</v>
      </c>
      <c r="M25" s="52" t="s">
        <v>31</v>
      </c>
      <c r="N25" s="52" t="s">
        <v>68</v>
      </c>
      <c r="O25" s="52" t="s">
        <v>64</v>
      </c>
      <c r="P25" s="52" t="s">
        <v>72</v>
      </c>
      <c r="Q25" s="52" t="s">
        <v>34</v>
      </c>
      <c r="R25" s="52" t="s">
        <v>69</v>
      </c>
      <c r="S25" s="52" t="s">
        <v>33</v>
      </c>
      <c r="T25" s="52" t="s">
        <v>70</v>
      </c>
      <c r="U25" s="52" t="s">
        <v>65</v>
      </c>
      <c r="V25" s="52" t="s">
        <v>71</v>
      </c>
      <c r="W25" s="52" t="s">
        <v>2</v>
      </c>
    </row>
    <row r="26" spans="4:23" x14ac:dyDescent="0.2">
      <c r="D26" s="29">
        <v>7</v>
      </c>
      <c r="E26" s="29" t="s">
        <v>120</v>
      </c>
      <c r="F26" s="29" t="s">
        <v>121</v>
      </c>
      <c r="G26" s="29" t="s">
        <v>5</v>
      </c>
      <c r="H26" s="29" t="s">
        <v>108</v>
      </c>
      <c r="I26" s="29" t="s">
        <v>24</v>
      </c>
      <c r="J26" s="29" t="s">
        <v>122</v>
      </c>
      <c r="K26" s="29">
        <v>17.11</v>
      </c>
      <c r="L26" s="29">
        <v>4</v>
      </c>
      <c r="M26" s="29">
        <v>1.93</v>
      </c>
      <c r="N26" s="29">
        <v>5</v>
      </c>
      <c r="O26" s="73">
        <v>3.9899999999999998E-2</v>
      </c>
      <c r="P26" s="35">
        <v>4</v>
      </c>
      <c r="Q26" s="73">
        <v>0.28920000000000001</v>
      </c>
      <c r="R26" s="35">
        <v>4</v>
      </c>
      <c r="S26" s="73">
        <v>0.1138</v>
      </c>
      <c r="T26" s="35">
        <v>2</v>
      </c>
      <c r="U26" s="29">
        <v>27.86</v>
      </c>
      <c r="V26" s="29">
        <v>5</v>
      </c>
      <c r="W26" s="29">
        <f>(Table42[[#This Row],[P/E Score]]*K$24)+(Table42[[#This Row],[P/B Score]]*M$24)+(Table42[[#This Row],[Dividend yield Score]]*O$24)+(Table42[[#This Row],[Earning momentum Q/Q Score]]*Q$24)+(Table42[[#This Row],[Return on Equity ( ROE ) Score]]*S$24)+(Table42[[#This Row],[Stock Price Development Score]]*U$24)</f>
        <v>3.9499999999999997</v>
      </c>
    </row>
    <row r="27" spans="4:23" x14ac:dyDescent="0.2">
      <c r="D27" s="29">
        <v>2</v>
      </c>
      <c r="E27" s="29" t="s">
        <v>106</v>
      </c>
      <c r="F27" s="29" t="s">
        <v>107</v>
      </c>
      <c r="G27" s="29" t="s">
        <v>5</v>
      </c>
      <c r="H27" s="29" t="s">
        <v>108</v>
      </c>
      <c r="I27" s="29" t="s">
        <v>24</v>
      </c>
      <c r="J27" s="29" t="s">
        <v>109</v>
      </c>
      <c r="K27" s="29">
        <v>10.94</v>
      </c>
      <c r="L27" s="29">
        <v>5</v>
      </c>
      <c r="M27" s="29">
        <v>3.41</v>
      </c>
      <c r="N27" s="29">
        <v>3</v>
      </c>
      <c r="O27" s="42">
        <v>0</v>
      </c>
      <c r="P27" s="35">
        <v>1</v>
      </c>
      <c r="Q27" s="73">
        <v>0.11609999999999999</v>
      </c>
      <c r="R27" s="35">
        <v>3</v>
      </c>
      <c r="S27" s="73">
        <v>0.36940000000000001</v>
      </c>
      <c r="T27" s="35">
        <v>5</v>
      </c>
      <c r="U27" s="29">
        <v>394.56</v>
      </c>
      <c r="V27" s="29">
        <v>5</v>
      </c>
      <c r="W27" s="29">
        <f>(Table42[[#This Row],[P/E Score]]*K$24)+(Table42[[#This Row],[P/B Score]]*M$24)+(Table42[[#This Row],[Dividend yield Score]]*O$24)+(Table42[[#This Row],[Earning momentum Q/Q Score]]*Q$24)+(Table42[[#This Row],[Return on Equity ( ROE ) Score]]*S$24)+(Table42[[#This Row],[Stock Price Development Score]]*U$24)</f>
        <v>3.9000000000000004</v>
      </c>
    </row>
    <row r="28" spans="4:23" x14ac:dyDescent="0.2">
      <c r="D28" s="29">
        <v>3</v>
      </c>
      <c r="E28" s="29" t="s">
        <v>110</v>
      </c>
      <c r="F28" s="29" t="s">
        <v>111</v>
      </c>
      <c r="G28" s="29" t="s">
        <v>5</v>
      </c>
      <c r="H28" s="29" t="s">
        <v>104</v>
      </c>
      <c r="I28" s="29" t="s">
        <v>24</v>
      </c>
      <c r="J28" s="29" t="s">
        <v>112</v>
      </c>
      <c r="K28" s="29">
        <v>19.809999999999999</v>
      </c>
      <c r="L28" s="29">
        <v>3</v>
      </c>
      <c r="M28" s="29">
        <v>6.25</v>
      </c>
      <c r="N28" s="29">
        <v>2</v>
      </c>
      <c r="O28" s="73">
        <v>3.0999999999999999E-3</v>
      </c>
      <c r="P28" s="35">
        <v>2</v>
      </c>
      <c r="Q28" s="73">
        <v>0.48770000000000002</v>
      </c>
      <c r="R28" s="35">
        <v>5</v>
      </c>
      <c r="S28" s="73">
        <v>0.34789999999999999</v>
      </c>
      <c r="T28" s="35">
        <v>5</v>
      </c>
      <c r="U28" s="29">
        <v>177.63</v>
      </c>
      <c r="V28" s="29">
        <v>4</v>
      </c>
      <c r="W28" s="29">
        <f>(Table42[[#This Row],[P/E Score]]*K$24)+(Table42[[#This Row],[P/B Score]]*M$24)+(Table42[[#This Row],[Dividend yield Score]]*O$24)+(Table42[[#This Row],[Earning momentum Q/Q Score]]*Q$24)+(Table42[[#This Row],[Return on Equity ( ROE ) Score]]*S$24)+(Table42[[#This Row],[Stock Price Development Score]]*U$24)</f>
        <v>3.75</v>
      </c>
    </row>
    <row r="29" spans="4:23" x14ac:dyDescent="0.2">
      <c r="D29" s="29">
        <v>4</v>
      </c>
      <c r="E29" s="29" t="s">
        <v>113</v>
      </c>
      <c r="F29" s="29" t="s">
        <v>111</v>
      </c>
      <c r="G29" s="29" t="s">
        <v>5</v>
      </c>
      <c r="H29" s="29" t="s">
        <v>104</v>
      </c>
      <c r="I29" s="29" t="s">
        <v>24</v>
      </c>
      <c r="J29" s="29" t="s">
        <v>112</v>
      </c>
      <c r="K29" s="29">
        <v>19.64</v>
      </c>
      <c r="L29" s="29">
        <v>3</v>
      </c>
      <c r="M29" s="29">
        <v>6.2</v>
      </c>
      <c r="N29" s="29">
        <v>2</v>
      </c>
      <c r="O29" s="73">
        <v>2.8999999999999998E-3</v>
      </c>
      <c r="P29" s="35">
        <v>2</v>
      </c>
      <c r="Q29" s="73">
        <v>0.48770000000000002</v>
      </c>
      <c r="R29" s="35">
        <v>5</v>
      </c>
      <c r="S29" s="73">
        <v>0.34789999999999999</v>
      </c>
      <c r="T29" s="35">
        <v>5</v>
      </c>
      <c r="U29" s="29">
        <v>176.09</v>
      </c>
      <c r="V29" s="29">
        <v>4</v>
      </c>
      <c r="W29" s="29">
        <f>(Table42[[#This Row],[P/E Score]]*K$24)+(Table42[[#This Row],[P/B Score]]*M$24)+(Table42[[#This Row],[Dividend yield Score]]*O$24)+(Table42[[#This Row],[Earning momentum Q/Q Score]]*Q$24)+(Table42[[#This Row],[Return on Equity ( ROE ) Score]]*S$24)+(Table42[[#This Row],[Stock Price Development Score]]*U$24)</f>
        <v>3.75</v>
      </c>
    </row>
    <row r="30" spans="4:23" x14ac:dyDescent="0.2">
      <c r="D30" s="29">
        <v>6</v>
      </c>
      <c r="E30" s="29" t="s">
        <v>117</v>
      </c>
      <c r="F30" s="29" t="s">
        <v>118</v>
      </c>
      <c r="G30" s="29" t="s">
        <v>5</v>
      </c>
      <c r="H30" s="29" t="s">
        <v>108</v>
      </c>
      <c r="I30" s="29" t="s">
        <v>24</v>
      </c>
      <c r="J30" s="29" t="s">
        <v>119</v>
      </c>
      <c r="K30" s="29">
        <v>10.37</v>
      </c>
      <c r="L30" s="29">
        <v>5</v>
      </c>
      <c r="M30" s="29">
        <v>1.83</v>
      </c>
      <c r="N30" s="29">
        <v>5</v>
      </c>
      <c r="O30" s="73">
        <v>6.2700000000000006E-2</v>
      </c>
      <c r="P30" s="35">
        <v>5</v>
      </c>
      <c r="Q30" s="73">
        <v>5.8400000000000001E-2</v>
      </c>
      <c r="R30" s="35">
        <v>2</v>
      </c>
      <c r="S30" s="73">
        <v>0.18229999999999999</v>
      </c>
      <c r="T30" s="35">
        <v>3</v>
      </c>
      <c r="U30" s="29">
        <v>43.65</v>
      </c>
      <c r="V30" s="29">
        <v>3</v>
      </c>
      <c r="W30" s="29">
        <f>(Table42[[#This Row],[P/E Score]]*K$24)+(Table42[[#This Row],[P/B Score]]*M$24)+(Table42[[#This Row],[Dividend yield Score]]*O$24)+(Table42[[#This Row],[Earning momentum Q/Q Score]]*Q$24)+(Table42[[#This Row],[Return on Equity ( ROE ) Score]]*S$24)+(Table42[[#This Row],[Stock Price Development Score]]*U$24)</f>
        <v>3.6</v>
      </c>
    </row>
    <row r="31" spans="4:23" x14ac:dyDescent="0.2">
      <c r="D31" s="29">
        <v>1</v>
      </c>
      <c r="E31" s="29" t="s">
        <v>102</v>
      </c>
      <c r="F31" s="29" t="s">
        <v>103</v>
      </c>
      <c r="G31" s="29" t="s">
        <v>5</v>
      </c>
      <c r="H31" s="29" t="s">
        <v>104</v>
      </c>
      <c r="I31" s="29" t="s">
        <v>24</v>
      </c>
      <c r="J31" s="29" t="s">
        <v>105</v>
      </c>
      <c r="K31" s="29">
        <v>27.07</v>
      </c>
      <c r="L31" s="29">
        <v>1</v>
      </c>
      <c r="M31" s="29">
        <v>9.4600000000000009</v>
      </c>
      <c r="N31" s="29">
        <v>1</v>
      </c>
      <c r="O31" s="73">
        <v>2.5000000000000001E-3</v>
      </c>
      <c r="P31" s="35">
        <v>2</v>
      </c>
      <c r="Q31" s="73">
        <v>0.36380000000000001</v>
      </c>
      <c r="R31" s="35">
        <v>5</v>
      </c>
      <c r="S31" s="73">
        <v>0.39829999999999999</v>
      </c>
      <c r="T31" s="35">
        <v>5</v>
      </c>
      <c r="U31" s="29">
        <v>694.06</v>
      </c>
      <c r="V31" s="29">
        <v>4</v>
      </c>
      <c r="W31" s="29">
        <f>(Table42[[#This Row],[P/E Score]]*K$24)+(Table42[[#This Row],[P/B Score]]*M$24)+(Table42[[#This Row],[Dividend yield Score]]*O$24)+(Table42[[#This Row],[Earning momentum Q/Q Score]]*Q$24)+(Table42[[#This Row],[Return on Equity ( ROE ) Score]]*S$24)+(Table42[[#This Row],[Stock Price Development Score]]*U$24)</f>
        <v>3.3</v>
      </c>
    </row>
    <row r="32" spans="4:23" x14ac:dyDescent="0.2">
      <c r="D32" s="29">
        <v>8</v>
      </c>
      <c r="E32" s="29" t="s">
        <v>123</v>
      </c>
      <c r="F32" s="29" t="s">
        <v>124</v>
      </c>
      <c r="G32" s="29" t="s">
        <v>5</v>
      </c>
      <c r="H32" s="29" t="s">
        <v>125</v>
      </c>
      <c r="I32" s="29" t="s">
        <v>24</v>
      </c>
      <c r="J32" s="29" t="s">
        <v>126</v>
      </c>
      <c r="K32" s="29">
        <v>23.62</v>
      </c>
      <c r="L32" s="29">
        <v>2</v>
      </c>
      <c r="M32" s="29">
        <v>2</v>
      </c>
      <c r="N32" s="29">
        <v>5</v>
      </c>
      <c r="O32" s="73">
        <v>7.4999999999999997E-3</v>
      </c>
      <c r="P32" s="35">
        <v>2</v>
      </c>
      <c r="Q32" s="73">
        <v>166.63300000000001</v>
      </c>
      <c r="R32" s="35">
        <v>5</v>
      </c>
      <c r="S32" s="73">
        <v>8.7499999999999994E-2</v>
      </c>
      <c r="T32" s="35">
        <v>1</v>
      </c>
      <c r="U32" s="29">
        <v>115.66</v>
      </c>
      <c r="V32" s="29">
        <v>4</v>
      </c>
      <c r="W32" s="29">
        <f>(Table42[[#This Row],[P/E Score]]*K$24)+(Table42[[#This Row],[P/B Score]]*M$24)+(Table42[[#This Row],[Dividend yield Score]]*O$24)+(Table42[[#This Row],[Earning momentum Q/Q Score]]*Q$24)+(Table42[[#This Row],[Return on Equity ( ROE ) Score]]*S$24)+(Table42[[#This Row],[Stock Price Development Score]]*U$24)</f>
        <v>3.25</v>
      </c>
    </row>
    <row r="33" spans="1:23" x14ac:dyDescent="0.2">
      <c r="D33" s="29">
        <v>5</v>
      </c>
      <c r="E33" s="29" t="s">
        <v>114</v>
      </c>
      <c r="F33" s="29" t="s">
        <v>115</v>
      </c>
      <c r="G33" s="29" t="s">
        <v>5</v>
      </c>
      <c r="H33" s="29" t="s">
        <v>108</v>
      </c>
      <c r="I33" s="29" t="s">
        <v>24</v>
      </c>
      <c r="J33" s="29" t="s">
        <v>116</v>
      </c>
      <c r="K33" s="29">
        <v>23.19</v>
      </c>
      <c r="L33" s="29">
        <v>3</v>
      </c>
      <c r="M33" s="29">
        <v>4.43</v>
      </c>
      <c r="N33" s="29">
        <v>3</v>
      </c>
      <c r="O33" s="73">
        <v>1.46E-2</v>
      </c>
      <c r="P33" s="35">
        <v>3</v>
      </c>
      <c r="Q33" s="73">
        <v>0.29220000000000002</v>
      </c>
      <c r="R33" s="35">
        <v>4</v>
      </c>
      <c r="S33" s="73">
        <v>0.19350000000000001</v>
      </c>
      <c r="T33" s="35">
        <v>3</v>
      </c>
      <c r="U33" s="29">
        <v>237.95</v>
      </c>
      <c r="V33" s="29">
        <v>3</v>
      </c>
      <c r="W33" s="29">
        <f>(Table42[[#This Row],[P/E Score]]*K$24)+(Table42[[#This Row],[P/B Score]]*M$24)+(Table42[[#This Row],[Dividend yield Score]]*O$24)+(Table42[[#This Row],[Earning momentum Q/Q Score]]*Q$24)+(Table42[[#This Row],[Return on Equity ( ROE ) Score]]*S$24)+(Table42[[#This Row],[Stock Price Development Score]]*U$24)</f>
        <v>3.2</v>
      </c>
    </row>
    <row r="34" spans="1:23" ht="17" thickBot="1" x14ac:dyDescent="0.25">
      <c r="D34" s="38"/>
      <c r="E34" s="38"/>
      <c r="F34" s="38"/>
      <c r="G34" s="38"/>
      <c r="H34" s="38"/>
      <c r="I34" s="38"/>
      <c r="J34" s="38"/>
      <c r="K34" s="39">
        <f>MEDIAN(K26:K33)</f>
        <v>19.725000000000001</v>
      </c>
      <c r="L34" s="38"/>
      <c r="M34" s="39">
        <f>MEDIAN(M26:M33)</f>
        <v>3.92</v>
      </c>
      <c r="N34" s="38"/>
      <c r="O34" s="38"/>
      <c r="P34" s="38"/>
      <c r="Q34" s="38"/>
      <c r="R34" s="38"/>
      <c r="S34" s="40"/>
      <c r="T34" s="38"/>
      <c r="U34" s="38"/>
      <c r="V34" s="38"/>
      <c r="W34" s="38"/>
    </row>
    <row r="36" spans="1:23" ht="17" thickBot="1" x14ac:dyDescent="0.25"/>
    <row r="37" spans="1:23" x14ac:dyDescent="0.2">
      <c r="A37" s="46" t="s">
        <v>77</v>
      </c>
      <c r="B37" s="47" t="s">
        <v>76</v>
      </c>
      <c r="D37" s="58" t="s">
        <v>27</v>
      </c>
      <c r="E37" s="59" t="s">
        <v>28</v>
      </c>
      <c r="F37" s="60" t="s">
        <v>2</v>
      </c>
      <c r="G37" s="60" t="s">
        <v>74</v>
      </c>
      <c r="H37" s="63" t="s">
        <v>78</v>
      </c>
    </row>
    <row r="38" spans="1:23" ht="17" thickBot="1" x14ac:dyDescent="0.25">
      <c r="A38" s="74" t="s">
        <v>5</v>
      </c>
      <c r="B38" s="45">
        <v>20000</v>
      </c>
      <c r="D38" s="29" t="s">
        <v>120</v>
      </c>
      <c r="E38" s="29" t="s">
        <v>121</v>
      </c>
      <c r="F38" s="29">
        <v>3.9499999999999997</v>
      </c>
      <c r="G38" s="49">
        <f t="shared" ref="G38:G40" si="0">F38/F$41</f>
        <v>0.34051724137931033</v>
      </c>
      <c r="H38" s="61">
        <f t="shared" ref="H38:H40" si="1">G38*B$38</f>
        <v>6810.3448275862065</v>
      </c>
    </row>
    <row r="39" spans="1:23" x14ac:dyDescent="0.2">
      <c r="D39" s="29" t="s">
        <v>106</v>
      </c>
      <c r="E39" s="29" t="s">
        <v>107</v>
      </c>
      <c r="F39" s="29">
        <v>3.9000000000000004</v>
      </c>
      <c r="G39" s="49">
        <f t="shared" si="0"/>
        <v>0.3362068965517242</v>
      </c>
      <c r="H39" s="61">
        <f t="shared" si="1"/>
        <v>6724.1379310344837</v>
      </c>
    </row>
    <row r="40" spans="1:23" x14ac:dyDescent="0.2">
      <c r="D40" s="29" t="s">
        <v>110</v>
      </c>
      <c r="E40" s="29" t="s">
        <v>111</v>
      </c>
      <c r="F40" s="29">
        <v>3.75</v>
      </c>
      <c r="G40" s="49">
        <f t="shared" si="0"/>
        <v>0.32327586206896552</v>
      </c>
      <c r="H40" s="61">
        <f t="shared" si="1"/>
        <v>6465.5172413793107</v>
      </c>
    </row>
    <row r="41" spans="1:23" x14ac:dyDescent="0.2">
      <c r="D41"/>
      <c r="E41"/>
      <c r="F41" s="29">
        <f>SUM(F38:F40)</f>
        <v>11.6</v>
      </c>
      <c r="G41"/>
      <c r="H41"/>
    </row>
  </sheetData>
  <pageMargins left="0.7" right="0.7" top="0.75" bottom="0.75" header="0.3" footer="0.3"/>
  <drawing r:id="rId1"/>
  <tableParts count="2">
    <tablePart r:id="rId2"/>
    <tablePart r:id="rId3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C80E21-2C6A-7E4D-BE39-D69F5E9B4FBA}">
  <dimension ref="A23:W56"/>
  <sheetViews>
    <sheetView topLeftCell="A11" workbookViewId="0">
      <selection activeCell="I44" sqref="A1:XFD1048576"/>
    </sheetView>
  </sheetViews>
  <sheetFormatPr baseColWidth="10" defaultRowHeight="16" x14ac:dyDescent="0.2"/>
  <cols>
    <col min="1" max="1" width="21.6640625" style="29" bestFit="1" customWidth="1"/>
    <col min="2" max="4" width="10.83203125" style="29"/>
    <col min="5" max="5" width="24.83203125" style="29" bestFit="1" customWidth="1"/>
    <col min="6" max="6" width="28.5" style="29" bestFit="1" customWidth="1"/>
    <col min="7" max="7" width="24.83203125" style="29" bestFit="1" customWidth="1"/>
    <col min="8" max="9" width="26.1640625" style="29" bestFit="1" customWidth="1"/>
    <col min="10" max="10" width="22.1640625" style="29" bestFit="1" customWidth="1"/>
    <col min="11" max="11" width="10.83203125" style="29"/>
    <col min="12" max="12" width="14" style="29" bestFit="1" customWidth="1"/>
    <col min="13" max="13" width="10.83203125" style="29"/>
    <col min="14" max="14" width="14.1640625" style="29" bestFit="1" customWidth="1"/>
    <col min="15" max="15" width="19.33203125" style="29" bestFit="1" customWidth="1"/>
    <col min="16" max="16" width="22.6640625" style="29" bestFit="1" customWidth="1"/>
    <col min="17" max="17" width="26.1640625" style="29" bestFit="1" customWidth="1"/>
    <col min="18" max="18" width="31.33203125" style="29" bestFit="1" customWidth="1"/>
    <col min="19" max="19" width="25.33203125" style="29" bestFit="1" customWidth="1"/>
    <col min="20" max="20" width="30.5" style="29" bestFit="1" customWidth="1"/>
    <col min="21" max="21" width="27.5" style="29" bestFit="1" customWidth="1"/>
    <col min="22" max="22" width="32.33203125" style="29" bestFit="1" customWidth="1"/>
    <col min="23" max="16384" width="10.83203125" style="29"/>
  </cols>
  <sheetData>
    <row r="23" spans="4:23" x14ac:dyDescent="0.2">
      <c r="K23" s="29" t="s">
        <v>73</v>
      </c>
      <c r="M23" s="29" t="s">
        <v>73</v>
      </c>
      <c r="O23" s="29" t="s">
        <v>73</v>
      </c>
      <c r="Q23" s="29" t="s">
        <v>73</v>
      </c>
      <c r="S23" s="29" t="s">
        <v>73</v>
      </c>
      <c r="U23" s="29" t="s">
        <v>73</v>
      </c>
    </row>
    <row r="24" spans="4:23" x14ac:dyDescent="0.2">
      <c r="K24" s="42">
        <v>0.15</v>
      </c>
      <c r="M24" s="42">
        <v>0.15</v>
      </c>
      <c r="O24" s="42">
        <v>0.1</v>
      </c>
      <c r="Q24" s="42">
        <v>0.2</v>
      </c>
      <c r="S24" s="42">
        <v>0.2</v>
      </c>
      <c r="U24" s="42">
        <v>0.2</v>
      </c>
    </row>
    <row r="25" spans="4:23" x14ac:dyDescent="0.2">
      <c r="D25" s="50" t="s">
        <v>26</v>
      </c>
      <c r="E25" s="51" t="s">
        <v>27</v>
      </c>
      <c r="F25" s="51" t="s">
        <v>28</v>
      </c>
      <c r="G25" s="51" t="s">
        <v>0</v>
      </c>
      <c r="H25" s="51" t="s">
        <v>29</v>
      </c>
      <c r="I25" s="51" t="s">
        <v>30</v>
      </c>
      <c r="J25" s="51" t="s">
        <v>66</v>
      </c>
      <c r="K25" s="51" t="s">
        <v>32</v>
      </c>
      <c r="L25" s="52" t="s">
        <v>67</v>
      </c>
      <c r="M25" s="52" t="s">
        <v>31</v>
      </c>
      <c r="N25" s="52" t="s">
        <v>68</v>
      </c>
      <c r="O25" s="52" t="s">
        <v>64</v>
      </c>
      <c r="P25" s="52" t="s">
        <v>72</v>
      </c>
      <c r="Q25" s="52" t="s">
        <v>34</v>
      </c>
      <c r="R25" s="52" t="s">
        <v>69</v>
      </c>
      <c r="S25" s="52" t="s">
        <v>33</v>
      </c>
      <c r="T25" s="52" t="s">
        <v>70</v>
      </c>
      <c r="U25" s="52" t="s">
        <v>65</v>
      </c>
      <c r="V25" s="52" t="s">
        <v>71</v>
      </c>
      <c r="W25" s="52" t="s">
        <v>2</v>
      </c>
    </row>
    <row r="26" spans="4:23" x14ac:dyDescent="0.2">
      <c r="D26" s="81">
        <v>1</v>
      </c>
      <c r="E26" s="81" t="s">
        <v>127</v>
      </c>
      <c r="F26" s="81" t="s">
        <v>128</v>
      </c>
      <c r="G26" s="81" t="s">
        <v>9</v>
      </c>
      <c r="H26" s="81" t="s">
        <v>129</v>
      </c>
      <c r="I26" s="81" t="s">
        <v>24</v>
      </c>
      <c r="J26" s="81" t="s">
        <v>130</v>
      </c>
      <c r="K26" s="81">
        <v>7.35</v>
      </c>
      <c r="L26" s="29">
        <v>5</v>
      </c>
      <c r="M26" s="81">
        <v>2.09</v>
      </c>
      <c r="N26" s="29">
        <v>3</v>
      </c>
      <c r="O26" s="84" t="s">
        <v>131</v>
      </c>
      <c r="P26" s="35">
        <v>0</v>
      </c>
      <c r="Q26" s="84">
        <v>4.077</v>
      </c>
      <c r="R26" s="35">
        <v>5</v>
      </c>
      <c r="S26" s="84">
        <v>0.3357</v>
      </c>
      <c r="T26" s="35">
        <v>4</v>
      </c>
      <c r="U26" s="81">
        <v>80.62</v>
      </c>
      <c r="V26" s="29">
        <v>3</v>
      </c>
      <c r="W26" s="29">
        <f>(Table428[[#This Row],[P/E Score]]*K$24)+(Table428[[#This Row],[P/B Score]]*M$24)+(Table428[[#This Row],[Dividend yield Score]]*O$24)+(Table428[[#This Row],[Earning momentum Q/Q Score]]*Q$24)+(Table428[[#This Row],[Return on Equity ( ROE ) Score]]*S$24)+(Table428[[#This Row],[Stock Price Development Score]]*U$24)</f>
        <v>3.6</v>
      </c>
    </row>
    <row r="27" spans="4:23" x14ac:dyDescent="0.2">
      <c r="D27" s="81">
        <v>2</v>
      </c>
      <c r="E27" s="81" t="s">
        <v>132</v>
      </c>
      <c r="F27" s="81" t="s">
        <v>133</v>
      </c>
      <c r="G27" s="81" t="s">
        <v>9</v>
      </c>
      <c r="H27" s="81" t="s">
        <v>129</v>
      </c>
      <c r="I27" s="81" t="s">
        <v>24</v>
      </c>
      <c r="J27" s="81" t="s">
        <v>134</v>
      </c>
      <c r="K27" s="81">
        <v>8.86</v>
      </c>
      <c r="L27" s="29">
        <v>5</v>
      </c>
      <c r="M27" s="81">
        <v>2.11</v>
      </c>
      <c r="N27" s="29">
        <v>3</v>
      </c>
      <c r="O27" s="84">
        <v>1.0699999999999999E-2</v>
      </c>
      <c r="P27" s="35">
        <v>1</v>
      </c>
      <c r="Q27" s="84">
        <v>5.4128999999999996</v>
      </c>
      <c r="R27" s="35">
        <v>5</v>
      </c>
      <c r="S27" s="84">
        <v>0.2752</v>
      </c>
      <c r="T27" s="35">
        <v>3</v>
      </c>
      <c r="U27" s="81">
        <v>49.97</v>
      </c>
      <c r="V27" s="29">
        <v>3</v>
      </c>
      <c r="W27" s="29">
        <f>(Table428[[#This Row],[P/E Score]]*K$24)+(Table428[[#This Row],[P/B Score]]*M$24)+(Table428[[#This Row],[Dividend yield Score]]*O$24)+(Table428[[#This Row],[Earning momentum Q/Q Score]]*Q$24)+(Table428[[#This Row],[Return on Equity ( ROE ) Score]]*S$24)+(Table428[[#This Row],[Stock Price Development Score]]*U$24)</f>
        <v>3.5</v>
      </c>
    </row>
    <row r="28" spans="4:23" x14ac:dyDescent="0.2">
      <c r="D28" s="81">
        <v>4</v>
      </c>
      <c r="E28" s="81" t="s">
        <v>139</v>
      </c>
      <c r="F28" s="81" t="s">
        <v>140</v>
      </c>
      <c r="G28" s="81" t="s">
        <v>9</v>
      </c>
      <c r="H28" s="81" t="s">
        <v>141</v>
      </c>
      <c r="I28" s="81" t="s">
        <v>24</v>
      </c>
      <c r="J28" s="81" t="s">
        <v>142</v>
      </c>
      <c r="K28" s="81">
        <v>17.14</v>
      </c>
      <c r="L28" s="81">
        <v>3</v>
      </c>
      <c r="M28" s="81">
        <v>3.9</v>
      </c>
      <c r="N28" s="81">
        <v>3</v>
      </c>
      <c r="O28" s="84">
        <v>2.1700000000000001E-2</v>
      </c>
      <c r="P28" s="35">
        <v>2</v>
      </c>
      <c r="Q28" s="84">
        <v>13.383599999999999</v>
      </c>
      <c r="R28" s="35">
        <v>5</v>
      </c>
      <c r="S28" s="84">
        <v>0.2452</v>
      </c>
      <c r="T28" s="35">
        <v>3</v>
      </c>
      <c r="U28" s="81">
        <v>251.02</v>
      </c>
      <c r="V28" s="81">
        <v>3</v>
      </c>
      <c r="W28" s="82">
        <f>(Table428[[#This Row],[P/E Score]]*K$24)+(Table428[[#This Row],[P/B Score]]*M$24)+(Table428[[#This Row],[Dividend yield Score]]*O$24)+(Table428[[#This Row],[Earning momentum Q/Q Score]]*Q$24)+(Table428[[#This Row],[Return on Equity ( ROE ) Score]]*S$24)+(Table428[[#This Row],[Stock Price Development Score]]*U$24)</f>
        <v>3.3</v>
      </c>
    </row>
    <row r="29" spans="4:23" x14ac:dyDescent="0.2">
      <c r="D29" s="81">
        <v>13</v>
      </c>
      <c r="E29" s="81" t="s">
        <v>172</v>
      </c>
      <c r="F29" s="81" t="s">
        <v>173</v>
      </c>
      <c r="G29" s="81" t="s">
        <v>9</v>
      </c>
      <c r="H29" s="81" t="s">
        <v>174</v>
      </c>
      <c r="I29" s="81" t="s">
        <v>24</v>
      </c>
      <c r="J29" s="81" t="s">
        <v>175</v>
      </c>
      <c r="K29" s="81">
        <v>29.04</v>
      </c>
      <c r="L29" s="29">
        <v>1</v>
      </c>
      <c r="M29" s="81">
        <v>1.2</v>
      </c>
      <c r="N29" s="29">
        <v>5</v>
      </c>
      <c r="O29" s="84">
        <v>4.5900000000000003E-2</v>
      </c>
      <c r="P29" s="35">
        <v>5</v>
      </c>
      <c r="Q29" s="84">
        <v>3.6122000000000001</v>
      </c>
      <c r="R29" s="35">
        <v>5</v>
      </c>
      <c r="S29" s="84">
        <v>4.0300000000000002E-2</v>
      </c>
      <c r="T29" s="35">
        <v>1</v>
      </c>
      <c r="U29" s="81">
        <v>68.36</v>
      </c>
      <c r="V29" s="29">
        <v>2</v>
      </c>
      <c r="W29" s="29">
        <f>(Table428[[#This Row],[P/E Score]]*K$24)+(Table428[[#This Row],[P/B Score]]*M$24)+(Table428[[#This Row],[Dividend yield Score]]*O$24)+(Table428[[#This Row],[Earning momentum Q/Q Score]]*Q$24)+(Table428[[#This Row],[Return on Equity ( ROE ) Score]]*S$24)+(Table428[[#This Row],[Stock Price Development Score]]*U$24)</f>
        <v>3</v>
      </c>
    </row>
    <row r="30" spans="4:23" x14ac:dyDescent="0.2">
      <c r="D30" s="81">
        <v>8</v>
      </c>
      <c r="E30" s="81" t="s">
        <v>155</v>
      </c>
      <c r="F30" s="81" t="s">
        <v>156</v>
      </c>
      <c r="G30" s="81" t="s">
        <v>9</v>
      </c>
      <c r="H30" s="81" t="s">
        <v>137</v>
      </c>
      <c r="I30" s="81" t="s">
        <v>157</v>
      </c>
      <c r="J30" s="81" t="s">
        <v>158</v>
      </c>
      <c r="K30" s="81">
        <v>27.68</v>
      </c>
      <c r="L30" s="81">
        <v>1</v>
      </c>
      <c r="M30" s="81">
        <v>4.32</v>
      </c>
      <c r="N30" s="81">
        <v>2</v>
      </c>
      <c r="O30" s="84">
        <v>1.4E-2</v>
      </c>
      <c r="P30" s="35">
        <v>1</v>
      </c>
      <c r="Q30" s="84">
        <v>2.7725</v>
      </c>
      <c r="R30" s="35">
        <v>5</v>
      </c>
      <c r="S30" s="84">
        <v>0.1492</v>
      </c>
      <c r="T30" s="35">
        <v>2</v>
      </c>
      <c r="U30" s="81">
        <v>103.79</v>
      </c>
      <c r="V30" s="81">
        <v>5</v>
      </c>
      <c r="W30" s="82">
        <f>(Table428[[#This Row],[P/E Score]]*K$24)+(Table428[[#This Row],[P/B Score]]*M$24)+(Table428[[#This Row],[Dividend yield Score]]*O$24)+(Table428[[#This Row],[Earning momentum Q/Q Score]]*Q$24)+(Table428[[#This Row],[Return on Equity ( ROE ) Score]]*S$24)+(Table428[[#This Row],[Stock Price Development Score]]*U$24)</f>
        <v>2.9499999999999997</v>
      </c>
    </row>
    <row r="31" spans="4:23" x14ac:dyDescent="0.2">
      <c r="D31" s="81">
        <v>3</v>
      </c>
      <c r="E31" s="81" t="s">
        <v>135</v>
      </c>
      <c r="F31" s="81" t="s">
        <v>136</v>
      </c>
      <c r="G31" s="81" t="s">
        <v>9</v>
      </c>
      <c r="H31" s="81" t="s">
        <v>137</v>
      </c>
      <c r="I31" s="81" t="s">
        <v>24</v>
      </c>
      <c r="J31" s="81" t="s">
        <v>138</v>
      </c>
      <c r="K31" s="81">
        <v>16.579999999999998</v>
      </c>
      <c r="L31" s="81">
        <v>3</v>
      </c>
      <c r="M31" s="81">
        <v>4.4800000000000004</v>
      </c>
      <c r="N31" s="81">
        <v>2</v>
      </c>
      <c r="O31" s="84">
        <v>1.2699999999999999E-2</v>
      </c>
      <c r="P31" s="35">
        <v>1</v>
      </c>
      <c r="Q31" s="84">
        <v>0.59230000000000005</v>
      </c>
      <c r="R31" s="35">
        <v>3</v>
      </c>
      <c r="S31" s="84">
        <v>0.25690000000000002</v>
      </c>
      <c r="T31" s="35">
        <v>3</v>
      </c>
      <c r="U31" s="81">
        <v>72.239999999999995</v>
      </c>
      <c r="V31" s="81">
        <v>3</v>
      </c>
      <c r="W31" s="82">
        <f>(Table428[[#This Row],[P/E Score]]*K$24)+(Table428[[#This Row],[P/B Score]]*M$24)+(Table428[[#This Row],[Dividend yield Score]]*O$24)+(Table428[[#This Row],[Earning momentum Q/Q Score]]*Q$24)+(Table428[[#This Row],[Return on Equity ( ROE ) Score]]*S$24)+(Table428[[#This Row],[Stock Price Development Score]]*U$24)</f>
        <v>2.6500000000000004</v>
      </c>
    </row>
    <row r="32" spans="4:23" x14ac:dyDescent="0.2">
      <c r="D32" s="81">
        <v>12</v>
      </c>
      <c r="E32" s="81" t="s">
        <v>169</v>
      </c>
      <c r="F32" s="81" t="s">
        <v>170</v>
      </c>
      <c r="G32" s="81" t="s">
        <v>9</v>
      </c>
      <c r="H32" s="81" t="s">
        <v>150</v>
      </c>
      <c r="I32" s="81" t="s">
        <v>24</v>
      </c>
      <c r="J32" s="81" t="s">
        <v>171</v>
      </c>
      <c r="K32" s="81">
        <v>29.05</v>
      </c>
      <c r="L32" s="29">
        <v>1</v>
      </c>
      <c r="M32" s="81">
        <v>2.4</v>
      </c>
      <c r="N32" s="29">
        <v>4</v>
      </c>
      <c r="O32" s="84">
        <v>0.02</v>
      </c>
      <c r="P32" s="35">
        <v>2</v>
      </c>
      <c r="Q32" s="84">
        <v>0.37619999999999998</v>
      </c>
      <c r="R32" s="35">
        <v>3</v>
      </c>
      <c r="S32" s="84">
        <v>8.4900000000000003E-2</v>
      </c>
      <c r="T32" s="35">
        <v>1</v>
      </c>
      <c r="U32" s="81">
        <v>245.09</v>
      </c>
      <c r="V32" s="29">
        <v>4</v>
      </c>
      <c r="W32" s="29">
        <f>(Table428[[#This Row],[P/E Score]]*K$24)+(Table428[[#This Row],[P/B Score]]*M$24)+(Table428[[#This Row],[Dividend yield Score]]*O$24)+(Table428[[#This Row],[Earning momentum Q/Q Score]]*Q$24)+(Table428[[#This Row],[Return on Equity ( ROE ) Score]]*S$24)+(Table428[[#This Row],[Stock Price Development Score]]*U$24)</f>
        <v>2.5499999999999998</v>
      </c>
    </row>
    <row r="33" spans="1:23" x14ac:dyDescent="0.2">
      <c r="D33" s="81">
        <v>10</v>
      </c>
      <c r="E33" s="81" t="s">
        <v>163</v>
      </c>
      <c r="F33" s="81" t="s">
        <v>164</v>
      </c>
      <c r="G33" s="81" t="s">
        <v>9</v>
      </c>
      <c r="H33" s="81" t="s">
        <v>145</v>
      </c>
      <c r="I33" s="81" t="s">
        <v>24</v>
      </c>
      <c r="J33" s="81" t="s">
        <v>165</v>
      </c>
      <c r="K33" s="81">
        <v>22.78</v>
      </c>
      <c r="L33" s="29">
        <v>3</v>
      </c>
      <c r="M33" s="81">
        <v>3.13</v>
      </c>
      <c r="N33" s="29">
        <v>3</v>
      </c>
      <c r="O33" s="84" t="s">
        <v>131</v>
      </c>
      <c r="P33" s="35">
        <v>0</v>
      </c>
      <c r="Q33" s="84">
        <v>0.88490000000000002</v>
      </c>
      <c r="R33" s="35">
        <v>4</v>
      </c>
      <c r="S33" s="84">
        <v>0.1429</v>
      </c>
      <c r="T33" s="35">
        <v>2</v>
      </c>
      <c r="U33" s="81">
        <v>130.77000000000001</v>
      </c>
      <c r="V33" s="29">
        <v>2</v>
      </c>
      <c r="W33" s="29">
        <f>(Table428[[#This Row],[P/E Score]]*K$24)+(Table428[[#This Row],[P/B Score]]*M$24)+(Table428[[#This Row],[Dividend yield Score]]*O$24)+(Table428[[#This Row],[Earning momentum Q/Q Score]]*Q$24)+(Table428[[#This Row],[Return on Equity ( ROE ) Score]]*S$24)+(Table428[[#This Row],[Stock Price Development Score]]*U$24)</f>
        <v>2.5</v>
      </c>
    </row>
    <row r="34" spans="1:23" x14ac:dyDescent="0.2">
      <c r="D34" s="81">
        <v>9</v>
      </c>
      <c r="E34" s="81" t="s">
        <v>159</v>
      </c>
      <c r="F34" s="81" t="s">
        <v>160</v>
      </c>
      <c r="G34" s="81" t="s">
        <v>9</v>
      </c>
      <c r="H34" s="81" t="s">
        <v>161</v>
      </c>
      <c r="I34" s="81" t="s">
        <v>24</v>
      </c>
      <c r="J34" s="81" t="s">
        <v>162</v>
      </c>
      <c r="K34" s="81">
        <v>14.15</v>
      </c>
      <c r="L34" s="29">
        <v>4</v>
      </c>
      <c r="M34" s="81">
        <v>2.0299999999999998</v>
      </c>
      <c r="N34" s="29">
        <v>4</v>
      </c>
      <c r="O34" s="84">
        <v>2.4799999999999999E-2</v>
      </c>
      <c r="P34" s="35">
        <v>2</v>
      </c>
      <c r="Q34" s="84">
        <v>6.8400000000000002E-2</v>
      </c>
      <c r="R34" s="35">
        <v>1</v>
      </c>
      <c r="S34" s="84">
        <v>0.1474</v>
      </c>
      <c r="T34" s="35">
        <v>2</v>
      </c>
      <c r="U34" s="81">
        <v>225.36</v>
      </c>
      <c r="V34" s="29">
        <v>1</v>
      </c>
      <c r="W34" s="29">
        <f>(Table428[[#This Row],[P/E Score]]*K$24)+(Table428[[#This Row],[P/B Score]]*M$24)+(Table428[[#This Row],[Dividend yield Score]]*O$24)+(Table428[[#This Row],[Earning momentum Q/Q Score]]*Q$24)+(Table428[[#This Row],[Return on Equity ( ROE ) Score]]*S$24)+(Table428[[#This Row],[Stock Price Development Score]]*U$24)</f>
        <v>2.2000000000000002</v>
      </c>
    </row>
    <row r="35" spans="1:23" x14ac:dyDescent="0.2">
      <c r="D35" s="81">
        <v>11</v>
      </c>
      <c r="E35" s="81" t="s">
        <v>166</v>
      </c>
      <c r="F35" s="81" t="s">
        <v>167</v>
      </c>
      <c r="G35" s="81" t="s">
        <v>9</v>
      </c>
      <c r="H35" s="81" t="s">
        <v>150</v>
      </c>
      <c r="I35" s="81" t="s">
        <v>24</v>
      </c>
      <c r="J35" s="81" t="s">
        <v>168</v>
      </c>
      <c r="K35" s="81">
        <v>17.37</v>
      </c>
      <c r="L35" s="29">
        <v>3</v>
      </c>
      <c r="M35" s="81">
        <v>1.9</v>
      </c>
      <c r="N35" s="29">
        <v>5</v>
      </c>
      <c r="O35" s="84">
        <v>1.1000000000000001E-3</v>
      </c>
      <c r="P35" s="35">
        <v>0</v>
      </c>
      <c r="Q35" s="84">
        <v>9.2600000000000002E-2</v>
      </c>
      <c r="R35" s="35">
        <v>1</v>
      </c>
      <c r="S35" s="84">
        <v>0.11700000000000001</v>
      </c>
      <c r="T35" s="35">
        <v>2</v>
      </c>
      <c r="U35" s="81">
        <v>76.72</v>
      </c>
      <c r="V35" s="29">
        <v>2</v>
      </c>
      <c r="W35" s="29">
        <f>(Table428[[#This Row],[P/E Score]]*K$24)+(Table428[[#This Row],[P/B Score]]*M$24)+(Table428[[#This Row],[Dividend yield Score]]*O$24)+(Table428[[#This Row],[Earning momentum Q/Q Score]]*Q$24)+(Table428[[#This Row],[Return on Equity ( ROE ) Score]]*S$24)+(Table428[[#This Row],[Stock Price Development Score]]*U$24)</f>
        <v>2.1999999999999997</v>
      </c>
    </row>
    <row r="36" spans="1:23" x14ac:dyDescent="0.2">
      <c r="D36" s="81">
        <v>6</v>
      </c>
      <c r="E36" s="81" t="s">
        <v>148</v>
      </c>
      <c r="F36" s="81" t="s">
        <v>149</v>
      </c>
      <c r="G36" s="81" t="s">
        <v>9</v>
      </c>
      <c r="H36" s="81" t="s">
        <v>150</v>
      </c>
      <c r="I36" s="81" t="s">
        <v>24</v>
      </c>
      <c r="J36" s="81" t="s">
        <v>151</v>
      </c>
      <c r="K36" s="81">
        <v>19.05</v>
      </c>
      <c r="L36" s="81">
        <v>3</v>
      </c>
      <c r="M36" s="81">
        <v>3.31</v>
      </c>
      <c r="N36" s="81">
        <v>3</v>
      </c>
      <c r="O36" s="84">
        <v>2.1299999999999999E-2</v>
      </c>
      <c r="P36" s="35">
        <v>2</v>
      </c>
      <c r="Q36" s="84">
        <v>0.2681</v>
      </c>
      <c r="R36" s="35">
        <v>2</v>
      </c>
      <c r="S36" s="84">
        <v>0.18229999999999999</v>
      </c>
      <c r="T36" s="35">
        <v>2</v>
      </c>
      <c r="U36" s="81">
        <v>274.43</v>
      </c>
      <c r="V36" s="81">
        <v>1</v>
      </c>
      <c r="W36" s="82">
        <f>(Table428[[#This Row],[P/E Score]]*K$24)+(Table428[[#This Row],[P/B Score]]*M$24)+(Table428[[#This Row],[Dividend yield Score]]*O$24)+(Table428[[#This Row],[Earning momentum Q/Q Score]]*Q$24)+(Table428[[#This Row],[Return on Equity ( ROE ) Score]]*S$24)+(Table428[[#This Row],[Stock Price Development Score]]*U$24)</f>
        <v>2.1</v>
      </c>
    </row>
    <row r="37" spans="1:23" x14ac:dyDescent="0.2">
      <c r="D37" s="81">
        <v>5</v>
      </c>
      <c r="E37" s="81" t="s">
        <v>143</v>
      </c>
      <c r="F37" s="81" t="s">
        <v>144</v>
      </c>
      <c r="G37" s="81" t="s">
        <v>9</v>
      </c>
      <c r="H37" s="81" t="s">
        <v>145</v>
      </c>
      <c r="I37" s="81" t="s">
        <v>146</v>
      </c>
      <c r="J37" s="81" t="s">
        <v>147</v>
      </c>
      <c r="K37" s="81">
        <v>25.83</v>
      </c>
      <c r="L37" s="81">
        <v>2</v>
      </c>
      <c r="M37" s="81">
        <v>4.53</v>
      </c>
      <c r="N37" s="81">
        <v>2</v>
      </c>
      <c r="O37" s="84">
        <v>9.9000000000000008E-3</v>
      </c>
      <c r="P37" s="35">
        <v>1</v>
      </c>
      <c r="Q37" s="84">
        <v>0.16830000000000001</v>
      </c>
      <c r="R37" s="35">
        <v>1</v>
      </c>
      <c r="S37" s="84">
        <v>0.18590000000000001</v>
      </c>
      <c r="T37" s="35">
        <v>2</v>
      </c>
      <c r="U37" s="81">
        <v>100.16</v>
      </c>
      <c r="V37" s="81">
        <v>4</v>
      </c>
      <c r="W37" s="82">
        <f>(Table428[[#This Row],[P/E Score]]*K$24)+(Table428[[#This Row],[P/B Score]]*M$24)+(Table428[[#This Row],[Dividend yield Score]]*O$24)+(Table428[[#This Row],[Earning momentum Q/Q Score]]*Q$24)+(Table428[[#This Row],[Return on Equity ( ROE ) Score]]*S$24)+(Table428[[#This Row],[Stock Price Development Score]]*U$24)</f>
        <v>2.0999999999999996</v>
      </c>
    </row>
    <row r="38" spans="1:23" x14ac:dyDescent="0.2">
      <c r="D38" s="81">
        <v>7</v>
      </c>
      <c r="E38" s="81" t="s">
        <v>152</v>
      </c>
      <c r="F38" s="81" t="s">
        <v>153</v>
      </c>
      <c r="G38" s="81" t="s">
        <v>9</v>
      </c>
      <c r="H38" s="81" t="s">
        <v>145</v>
      </c>
      <c r="I38" s="81" t="s">
        <v>24</v>
      </c>
      <c r="J38" s="81" t="s">
        <v>154</v>
      </c>
      <c r="K38" s="81">
        <v>29.65</v>
      </c>
      <c r="L38" s="81">
        <v>1</v>
      </c>
      <c r="M38" s="81">
        <v>4.1900000000000004</v>
      </c>
      <c r="N38" s="81">
        <v>2</v>
      </c>
      <c r="O38" s="84">
        <v>6.7000000000000002E-3</v>
      </c>
      <c r="P38" s="35">
        <v>1</v>
      </c>
      <c r="Q38" s="84">
        <v>0.1336</v>
      </c>
      <c r="R38" s="35">
        <v>1</v>
      </c>
      <c r="S38" s="84">
        <v>0.14960000000000001</v>
      </c>
      <c r="T38" s="35">
        <v>2</v>
      </c>
      <c r="U38" s="81">
        <v>181.07</v>
      </c>
      <c r="V38" s="81">
        <v>2</v>
      </c>
      <c r="W38" s="82">
        <f>(Table428[[#This Row],[P/E Score]]*K$24)+(Table428[[#This Row],[P/B Score]]*M$24)+(Table428[[#This Row],[Dividend yield Score]]*O$24)+(Table428[[#This Row],[Earning momentum Q/Q Score]]*Q$24)+(Table428[[#This Row],[Return on Equity ( ROE ) Score]]*S$24)+(Table428[[#This Row],[Stock Price Development Score]]*U$24)</f>
        <v>1.5499999999999998</v>
      </c>
    </row>
    <row r="39" spans="1:23" ht="17" thickBot="1" x14ac:dyDescent="0.25">
      <c r="D39" s="38"/>
      <c r="E39" s="38"/>
      <c r="F39" s="38"/>
      <c r="G39" s="38"/>
      <c r="H39" s="38"/>
      <c r="I39" s="38"/>
      <c r="J39" s="38"/>
      <c r="K39" s="39">
        <f>MEDIAN(K26:K38)</f>
        <v>19.05</v>
      </c>
      <c r="L39" s="38"/>
      <c r="M39" s="39">
        <f>MEDIAN(M26:M38)</f>
        <v>3.13</v>
      </c>
      <c r="N39" s="38"/>
      <c r="O39" s="38"/>
      <c r="P39" s="38"/>
      <c r="Q39" s="38"/>
      <c r="R39" s="38"/>
      <c r="S39" s="40"/>
      <c r="T39" s="38"/>
      <c r="U39" s="38"/>
      <c r="V39" s="38"/>
      <c r="W39" s="38"/>
    </row>
    <row r="41" spans="1:23" ht="17" thickBot="1" x14ac:dyDescent="0.25"/>
    <row r="42" spans="1:23" x14ac:dyDescent="0.2">
      <c r="A42" s="46" t="s">
        <v>77</v>
      </c>
      <c r="B42" s="47" t="s">
        <v>76</v>
      </c>
      <c r="D42" s="58" t="s">
        <v>27</v>
      </c>
      <c r="E42" s="59" t="s">
        <v>28</v>
      </c>
      <c r="F42" s="60" t="s">
        <v>2</v>
      </c>
      <c r="G42" s="60" t="s">
        <v>74</v>
      </c>
      <c r="H42" s="63" t="s">
        <v>78</v>
      </c>
    </row>
    <row r="43" spans="1:23" ht="17" thickBot="1" x14ac:dyDescent="0.25">
      <c r="A43" s="74" t="s">
        <v>5</v>
      </c>
      <c r="B43" s="45">
        <v>17000</v>
      </c>
      <c r="D43" s="81" t="s">
        <v>127</v>
      </c>
      <c r="E43" s="81" t="s">
        <v>128</v>
      </c>
      <c r="F43" s="29">
        <v>3.6</v>
      </c>
      <c r="G43" s="49">
        <f t="shared" ref="G43:G45" si="0">F43/F$46</f>
        <v>0.3461538461538462</v>
      </c>
      <c r="H43" s="61">
        <f>G43*B$43</f>
        <v>5884.6153846153857</v>
      </c>
    </row>
    <row r="44" spans="1:23" x14ac:dyDescent="0.2">
      <c r="D44" s="81" t="s">
        <v>132</v>
      </c>
      <c r="E44" s="81" t="s">
        <v>133</v>
      </c>
      <c r="F44" s="29">
        <v>3.5</v>
      </c>
      <c r="G44" s="49">
        <f t="shared" si="0"/>
        <v>0.33653846153846156</v>
      </c>
      <c r="H44" s="61">
        <f t="shared" ref="H43:H45" si="1">G44*B$43</f>
        <v>5721.1538461538466</v>
      </c>
    </row>
    <row r="45" spans="1:23" x14ac:dyDescent="0.2">
      <c r="D45" s="81" t="s">
        <v>139</v>
      </c>
      <c r="E45" s="81" t="s">
        <v>140</v>
      </c>
      <c r="F45" s="82">
        <v>3.3</v>
      </c>
      <c r="G45" s="49">
        <f t="shared" si="0"/>
        <v>0.31730769230769235</v>
      </c>
      <c r="H45" s="61">
        <f t="shared" si="1"/>
        <v>5394.2307692307695</v>
      </c>
    </row>
    <row r="46" spans="1:23" x14ac:dyDescent="0.2">
      <c r="F46" s="29">
        <f>SUM(F43:F45)</f>
        <v>10.399999999999999</v>
      </c>
    </row>
    <row r="56" spans="2:16" x14ac:dyDescent="0.2">
      <c r="B56" s="86"/>
      <c r="C56" s="86"/>
      <c r="D56" s="86"/>
      <c r="E56" s="86"/>
      <c r="F56" s="86"/>
      <c r="G56" s="86"/>
      <c r="H56" s="86"/>
      <c r="I56" s="86"/>
      <c r="J56" s="86"/>
      <c r="K56" s="86"/>
      <c r="L56" s="86"/>
      <c r="M56" s="86"/>
      <c r="N56" s="86"/>
      <c r="O56" s="86"/>
      <c r="P56" s="86"/>
    </row>
  </sheetData>
  <pageMargins left="0.7" right="0.7" top="0.75" bottom="0.75" header="0.3" footer="0.3"/>
  <tableParts count="2">
    <tablePart r:id="rId1"/>
    <tablePart r:id="rId2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46E454-2D7E-FC4C-933C-2CBFE174F7CD}">
  <dimension ref="A23:W75"/>
  <sheetViews>
    <sheetView topLeftCell="A11" zoomScale="75" workbookViewId="0">
      <selection activeCell="B48" sqref="B48"/>
    </sheetView>
  </sheetViews>
  <sheetFormatPr baseColWidth="10" defaultRowHeight="16" x14ac:dyDescent="0.2"/>
  <cols>
    <col min="1" max="1" width="21.6640625" style="29" bestFit="1" customWidth="1"/>
    <col min="2" max="4" width="10.83203125" style="29"/>
    <col min="5" max="5" width="24.83203125" style="29" bestFit="1" customWidth="1"/>
    <col min="6" max="6" width="28.5" style="29" bestFit="1" customWidth="1"/>
    <col min="7" max="7" width="24.83203125" style="29" bestFit="1" customWidth="1"/>
    <col min="8" max="9" width="26.1640625" style="29" bestFit="1" customWidth="1"/>
    <col min="10" max="10" width="22.1640625" style="29" bestFit="1" customWidth="1"/>
    <col min="11" max="11" width="10.83203125" style="29"/>
    <col min="12" max="12" width="14" style="29" bestFit="1" customWidth="1"/>
    <col min="13" max="13" width="10.83203125" style="29"/>
    <col min="14" max="14" width="14.1640625" style="29" bestFit="1" customWidth="1"/>
    <col min="15" max="15" width="19.33203125" style="29" bestFit="1" customWidth="1"/>
    <col min="16" max="16" width="22.6640625" style="29" bestFit="1" customWidth="1"/>
    <col min="17" max="17" width="26.1640625" style="29" bestFit="1" customWidth="1"/>
    <col min="18" max="18" width="31.33203125" style="29" bestFit="1" customWidth="1"/>
    <col min="19" max="19" width="25.33203125" style="29" bestFit="1" customWidth="1"/>
    <col min="20" max="20" width="30.5" style="29" bestFit="1" customWidth="1"/>
    <col min="21" max="21" width="27.5" style="29" bestFit="1" customWidth="1"/>
    <col min="22" max="22" width="32.33203125" style="29" bestFit="1" customWidth="1"/>
    <col min="23" max="16384" width="10.83203125" style="29"/>
  </cols>
  <sheetData>
    <row r="23" spans="4:23" x14ac:dyDescent="0.2">
      <c r="K23" s="29" t="s">
        <v>73</v>
      </c>
      <c r="M23" s="29" t="s">
        <v>73</v>
      </c>
      <c r="O23" s="29" t="s">
        <v>73</v>
      </c>
      <c r="Q23" s="29" t="s">
        <v>73</v>
      </c>
      <c r="S23" s="29" t="s">
        <v>73</v>
      </c>
      <c r="U23" s="29" t="s">
        <v>73</v>
      </c>
    </row>
    <row r="24" spans="4:23" x14ac:dyDescent="0.2">
      <c r="K24" s="42">
        <v>0.15</v>
      </c>
      <c r="M24" s="42">
        <v>0.15</v>
      </c>
      <c r="O24" s="42">
        <v>0.1</v>
      </c>
      <c r="Q24" s="42">
        <v>0.2</v>
      </c>
      <c r="S24" s="42">
        <v>0.2</v>
      </c>
      <c r="U24" s="42">
        <v>0.2</v>
      </c>
    </row>
    <row r="25" spans="4:23" x14ac:dyDescent="0.2">
      <c r="D25" s="50" t="s">
        <v>26</v>
      </c>
      <c r="E25" s="51" t="s">
        <v>27</v>
      </c>
      <c r="F25" s="51" t="s">
        <v>28</v>
      </c>
      <c r="G25" s="51" t="s">
        <v>0</v>
      </c>
      <c r="H25" s="51" t="s">
        <v>29</v>
      </c>
      <c r="I25" s="51" t="s">
        <v>30</v>
      </c>
      <c r="J25" s="51" t="s">
        <v>66</v>
      </c>
      <c r="K25" s="51" t="s">
        <v>32</v>
      </c>
      <c r="L25" s="52" t="s">
        <v>67</v>
      </c>
      <c r="M25" s="52" t="s">
        <v>31</v>
      </c>
      <c r="N25" s="52" t="s">
        <v>68</v>
      </c>
      <c r="O25" s="52" t="s">
        <v>64</v>
      </c>
      <c r="P25" s="52" t="s">
        <v>72</v>
      </c>
      <c r="Q25" s="52" t="s">
        <v>34</v>
      </c>
      <c r="R25" s="52" t="s">
        <v>69</v>
      </c>
      <c r="S25" s="52" t="s">
        <v>33</v>
      </c>
      <c r="T25" s="52" t="s">
        <v>70</v>
      </c>
      <c r="U25" s="52" t="s">
        <v>65</v>
      </c>
      <c r="V25" s="52" t="s">
        <v>71</v>
      </c>
      <c r="W25" s="52" t="s">
        <v>2</v>
      </c>
    </row>
    <row r="26" spans="4:23" x14ac:dyDescent="0.2">
      <c r="D26" s="81">
        <v>2</v>
      </c>
      <c r="E26" s="81" t="s">
        <v>181</v>
      </c>
      <c r="F26" s="81" t="s">
        <v>182</v>
      </c>
      <c r="G26" s="81" t="s">
        <v>178</v>
      </c>
      <c r="H26" s="81" t="s">
        <v>183</v>
      </c>
      <c r="I26" s="81" t="s">
        <v>24</v>
      </c>
      <c r="J26" s="81" t="s">
        <v>184</v>
      </c>
      <c r="K26" s="81">
        <v>22.57</v>
      </c>
      <c r="L26" s="29">
        <v>3</v>
      </c>
      <c r="M26" s="81">
        <v>9.17</v>
      </c>
      <c r="N26" s="29">
        <v>2</v>
      </c>
      <c r="O26" s="84">
        <v>9.7999999999999997E-3</v>
      </c>
      <c r="P26" s="35">
        <v>1</v>
      </c>
      <c r="Q26" s="84">
        <v>1.0646</v>
      </c>
      <c r="R26" s="35">
        <v>5</v>
      </c>
      <c r="S26" s="84">
        <v>0.4955</v>
      </c>
      <c r="T26" s="35">
        <v>5</v>
      </c>
      <c r="U26" s="81">
        <v>268.77</v>
      </c>
      <c r="V26" s="29">
        <v>5</v>
      </c>
      <c r="W26" s="29">
        <f>(Table42810[[#This Row],[P/E Score]]*K$24)+(Table42810[[#This Row],[P/B Score]]*M$24)+(Table42810[[#This Row],[Dividend yield Score]]*O$24)+(Table42810[[#This Row],[Earning momentum Q/Q Score]]*Q$24)+(Table42810[[#This Row],[Return on Equity ( ROE ) Score]]*S$24)+(Table42810[[#This Row],[Stock Price Development Score]]*U$24)</f>
        <v>3.85</v>
      </c>
    </row>
    <row r="27" spans="4:23" x14ac:dyDescent="0.2">
      <c r="D27" s="81">
        <v>8</v>
      </c>
      <c r="E27" s="81" t="s">
        <v>205</v>
      </c>
      <c r="F27" s="81" t="s">
        <v>206</v>
      </c>
      <c r="G27" s="81" t="s">
        <v>178</v>
      </c>
      <c r="H27" s="81" t="s">
        <v>207</v>
      </c>
      <c r="I27" s="81" t="s">
        <v>24</v>
      </c>
      <c r="J27" s="81" t="s">
        <v>208</v>
      </c>
      <c r="K27" s="81">
        <v>22.8</v>
      </c>
      <c r="L27" s="29">
        <v>3</v>
      </c>
      <c r="M27" s="81">
        <v>8.2799999999999994</v>
      </c>
      <c r="N27" s="29">
        <v>2</v>
      </c>
      <c r="O27" s="84">
        <v>3.9399999999999998E-2</v>
      </c>
      <c r="P27" s="35">
        <v>4</v>
      </c>
      <c r="Q27" s="84">
        <v>0.67379999999999995</v>
      </c>
      <c r="R27" s="35">
        <v>4</v>
      </c>
      <c r="S27" s="84">
        <v>0.3916</v>
      </c>
      <c r="T27" s="35">
        <v>4</v>
      </c>
      <c r="U27" s="81">
        <v>69.11</v>
      </c>
      <c r="V27" s="29">
        <v>5</v>
      </c>
      <c r="W27" s="29">
        <f>(Table42810[[#This Row],[P/E Score]]*K$24)+(Table42810[[#This Row],[P/B Score]]*M$24)+(Table42810[[#This Row],[Dividend yield Score]]*O$24)+(Table42810[[#This Row],[Earning momentum Q/Q Score]]*Q$24)+(Table42810[[#This Row],[Return on Equity ( ROE ) Score]]*S$24)+(Table42810[[#This Row],[Stock Price Development Score]]*U$24)</f>
        <v>3.75</v>
      </c>
    </row>
    <row r="28" spans="4:23" x14ac:dyDescent="0.2">
      <c r="D28" s="81">
        <v>6</v>
      </c>
      <c r="E28" s="81" t="s">
        <v>198</v>
      </c>
      <c r="F28" s="81" t="s">
        <v>199</v>
      </c>
      <c r="G28" s="81" t="s">
        <v>178</v>
      </c>
      <c r="H28" s="81" t="s">
        <v>200</v>
      </c>
      <c r="I28" s="81" t="s">
        <v>24</v>
      </c>
      <c r="J28" s="81" t="s">
        <v>201</v>
      </c>
      <c r="K28" s="81">
        <v>21.4</v>
      </c>
      <c r="L28" s="81">
        <v>3</v>
      </c>
      <c r="M28" s="81">
        <v>11.31</v>
      </c>
      <c r="N28" s="81">
        <v>1</v>
      </c>
      <c r="O28" s="84">
        <v>1.7100000000000001E-2</v>
      </c>
      <c r="P28" s="35">
        <v>2</v>
      </c>
      <c r="Q28" s="84">
        <v>0.5968</v>
      </c>
      <c r="R28" s="35">
        <v>4</v>
      </c>
      <c r="S28" s="84">
        <v>0.4027</v>
      </c>
      <c r="T28" s="35">
        <v>5</v>
      </c>
      <c r="U28" s="81">
        <v>81.319999999999993</v>
      </c>
      <c r="V28" s="81">
        <v>5</v>
      </c>
      <c r="W28" s="82">
        <f>(Table42810[[#This Row],[P/E Score]]*K$24)+(Table42810[[#This Row],[P/B Score]]*M$24)+(Table42810[[#This Row],[Dividend yield Score]]*O$24)+(Table42810[[#This Row],[Earning momentum Q/Q Score]]*Q$24)+(Table42810[[#This Row],[Return on Equity ( ROE ) Score]]*S$24)+(Table42810[[#This Row],[Stock Price Development Score]]*U$24)</f>
        <v>3.6</v>
      </c>
    </row>
    <row r="29" spans="4:23" x14ac:dyDescent="0.2">
      <c r="D29" s="81">
        <v>9</v>
      </c>
      <c r="E29" s="81" t="s">
        <v>209</v>
      </c>
      <c r="F29" s="81" t="s">
        <v>210</v>
      </c>
      <c r="G29" s="81" t="s">
        <v>178</v>
      </c>
      <c r="H29" s="81" t="s">
        <v>211</v>
      </c>
      <c r="I29" s="81" t="s">
        <v>24</v>
      </c>
      <c r="J29" s="81" t="s">
        <v>212</v>
      </c>
      <c r="K29" s="81">
        <v>18.68</v>
      </c>
      <c r="L29" s="81">
        <v>3</v>
      </c>
      <c r="M29" s="81">
        <v>7.31</v>
      </c>
      <c r="N29" s="81">
        <v>3</v>
      </c>
      <c r="O29" s="84">
        <v>1.47E-2</v>
      </c>
      <c r="P29" s="35">
        <v>1</v>
      </c>
      <c r="Q29" s="84">
        <v>0.25490000000000002</v>
      </c>
      <c r="R29" s="35">
        <v>2</v>
      </c>
      <c r="S29" s="84">
        <v>0.36480000000000001</v>
      </c>
      <c r="T29" s="35">
        <v>4</v>
      </c>
      <c r="U29" s="81">
        <v>78.16</v>
      </c>
      <c r="V29" s="81">
        <v>5</v>
      </c>
      <c r="W29" s="82">
        <f>(Table42810[[#This Row],[P/E Score]]*K$24)+(Table42810[[#This Row],[P/B Score]]*M$24)+(Table42810[[#This Row],[Dividend yield Score]]*O$24)+(Table42810[[#This Row],[Earning momentum Q/Q Score]]*Q$24)+(Table42810[[#This Row],[Return on Equity ( ROE ) Score]]*S$24)+(Table42810[[#This Row],[Stock Price Development Score]]*U$24)</f>
        <v>3.2</v>
      </c>
    </row>
    <row r="30" spans="4:23" x14ac:dyDescent="0.2">
      <c r="D30" s="81">
        <v>11</v>
      </c>
      <c r="E30" s="81" t="s">
        <v>217</v>
      </c>
      <c r="F30" s="81" t="s">
        <v>218</v>
      </c>
      <c r="G30" s="81" t="s">
        <v>178</v>
      </c>
      <c r="H30" s="81" t="s">
        <v>183</v>
      </c>
      <c r="I30" s="81" t="s">
        <v>24</v>
      </c>
      <c r="J30" s="81" t="s">
        <v>219</v>
      </c>
      <c r="K30" s="81">
        <v>16.14</v>
      </c>
      <c r="L30" s="29">
        <v>4</v>
      </c>
      <c r="M30" s="81">
        <v>3.46</v>
      </c>
      <c r="N30" s="29">
        <v>4</v>
      </c>
      <c r="O30" s="84" t="s">
        <v>131</v>
      </c>
      <c r="P30" s="35">
        <v>0</v>
      </c>
      <c r="Q30" s="84">
        <v>0.64800000000000002</v>
      </c>
      <c r="R30" s="35">
        <v>4</v>
      </c>
      <c r="S30" s="84">
        <v>0.25869999999999999</v>
      </c>
      <c r="T30" s="35">
        <v>3</v>
      </c>
      <c r="U30" s="81">
        <v>24.24</v>
      </c>
      <c r="V30" s="29">
        <v>3</v>
      </c>
      <c r="W30" s="29">
        <f>(Table42810[[#This Row],[P/E Score]]*K$24)+(Table42810[[#This Row],[P/B Score]]*M$24)+(Table42810[[#This Row],[Dividend yield Score]]*O$24)+(Table42810[[#This Row],[Earning momentum Q/Q Score]]*Q$24)+(Table42810[[#This Row],[Return on Equity ( ROE ) Score]]*S$24)+(Table42810[[#This Row],[Stock Price Development Score]]*U$24)</f>
        <v>3.2</v>
      </c>
    </row>
    <row r="31" spans="4:23" x14ac:dyDescent="0.2">
      <c r="D31" s="81">
        <v>10</v>
      </c>
      <c r="E31" s="81" t="s">
        <v>213</v>
      </c>
      <c r="F31" s="81" t="s">
        <v>214</v>
      </c>
      <c r="G31" s="81" t="s">
        <v>178</v>
      </c>
      <c r="H31" s="81" t="s">
        <v>215</v>
      </c>
      <c r="I31" s="81" t="s">
        <v>24</v>
      </c>
      <c r="J31" s="81" t="s">
        <v>216</v>
      </c>
      <c r="K31" s="81">
        <v>23.17</v>
      </c>
      <c r="L31" s="81">
        <v>2</v>
      </c>
      <c r="M31" s="81">
        <v>6.39</v>
      </c>
      <c r="N31" s="81">
        <v>3</v>
      </c>
      <c r="O31" s="84">
        <v>1.2999999999999999E-2</v>
      </c>
      <c r="P31" s="35">
        <v>1</v>
      </c>
      <c r="Q31" s="84">
        <v>0.46250000000000002</v>
      </c>
      <c r="R31" s="35">
        <v>3</v>
      </c>
      <c r="S31" s="84">
        <v>0.2949</v>
      </c>
      <c r="T31" s="35">
        <v>3</v>
      </c>
      <c r="U31" s="81">
        <v>268.98</v>
      </c>
      <c r="V31" s="81">
        <v>5</v>
      </c>
      <c r="W31" s="82">
        <f>(Table42810[[#This Row],[P/E Score]]*K$24)+(Table42810[[#This Row],[P/B Score]]*M$24)+(Table42810[[#This Row],[Dividend yield Score]]*O$24)+(Table42810[[#This Row],[Earning momentum Q/Q Score]]*Q$24)+(Table42810[[#This Row],[Return on Equity ( ROE ) Score]]*S$24)+(Table42810[[#This Row],[Stock Price Development Score]]*U$24)</f>
        <v>3.0500000000000003</v>
      </c>
    </row>
    <row r="32" spans="4:23" x14ac:dyDescent="0.2">
      <c r="D32" s="81">
        <v>15</v>
      </c>
      <c r="E32" s="81" t="s">
        <v>232</v>
      </c>
      <c r="F32" s="81" t="s">
        <v>233</v>
      </c>
      <c r="G32" s="81" t="s">
        <v>178</v>
      </c>
      <c r="H32" s="81" t="s">
        <v>234</v>
      </c>
      <c r="I32" s="81" t="s">
        <v>24</v>
      </c>
      <c r="J32" s="81" t="s">
        <v>235</v>
      </c>
      <c r="K32" s="81">
        <v>7.21</v>
      </c>
      <c r="L32" s="81">
        <v>5</v>
      </c>
      <c r="M32" s="81">
        <v>0.75</v>
      </c>
      <c r="N32" s="81">
        <v>5</v>
      </c>
      <c r="O32" s="84">
        <v>1.14E-2</v>
      </c>
      <c r="P32" s="35">
        <v>1</v>
      </c>
      <c r="Q32" s="84">
        <v>0.31240000000000001</v>
      </c>
      <c r="R32" s="35">
        <v>3</v>
      </c>
      <c r="S32" s="84">
        <v>8.8800000000000004E-2</v>
      </c>
      <c r="T32" s="35">
        <v>1</v>
      </c>
      <c r="U32" s="81">
        <v>50.08</v>
      </c>
      <c r="V32" s="81">
        <v>3</v>
      </c>
      <c r="W32" s="82">
        <f>(Table42810[[#This Row],[P/E Score]]*K$24)+(Table42810[[#This Row],[P/B Score]]*M$24)+(Table42810[[#This Row],[Dividend yield Score]]*O$24)+(Table42810[[#This Row],[Earning momentum Q/Q Score]]*Q$24)+(Table42810[[#This Row],[Return on Equity ( ROE ) Score]]*S$24)+(Table42810[[#This Row],[Stock Price Development Score]]*U$24)</f>
        <v>3.0000000000000004</v>
      </c>
    </row>
    <row r="33" spans="1:23" x14ac:dyDescent="0.2">
      <c r="D33" s="81">
        <v>3</v>
      </c>
      <c r="E33" s="81" t="s">
        <v>185</v>
      </c>
      <c r="F33" s="81" t="s">
        <v>186</v>
      </c>
      <c r="G33" s="81" t="s">
        <v>178</v>
      </c>
      <c r="H33" s="81" t="s">
        <v>187</v>
      </c>
      <c r="I33" s="81" t="s">
        <v>24</v>
      </c>
      <c r="J33" s="81" t="s">
        <v>188</v>
      </c>
      <c r="K33" s="81">
        <v>24.48</v>
      </c>
      <c r="L33" s="81">
        <v>2</v>
      </c>
      <c r="M33" s="81">
        <v>11.53</v>
      </c>
      <c r="N33" s="81">
        <v>1</v>
      </c>
      <c r="O33" s="84">
        <v>2.5999999999999999E-2</v>
      </c>
      <c r="P33" s="35">
        <v>3</v>
      </c>
      <c r="Q33" s="84">
        <v>5.4600000000000003E-2</v>
      </c>
      <c r="R33" s="35">
        <v>1</v>
      </c>
      <c r="S33" s="84">
        <v>0.48220000000000002</v>
      </c>
      <c r="T33" s="35">
        <v>5</v>
      </c>
      <c r="U33" s="81">
        <v>216.94</v>
      </c>
      <c r="V33" s="81">
        <v>5</v>
      </c>
      <c r="W33" s="82">
        <f>(Table42810[[#This Row],[P/E Score]]*K$24)+(Table42810[[#This Row],[P/B Score]]*M$24)+(Table42810[[#This Row],[Dividend yield Score]]*O$24)+(Table42810[[#This Row],[Earning momentum Q/Q Score]]*Q$24)+(Table42810[[#This Row],[Return on Equity ( ROE ) Score]]*S$24)+(Table42810[[#This Row],[Stock Price Development Score]]*U$24)</f>
        <v>2.95</v>
      </c>
    </row>
    <row r="34" spans="1:23" x14ac:dyDescent="0.2">
      <c r="D34" s="81">
        <v>13</v>
      </c>
      <c r="E34" s="81" t="s">
        <v>225</v>
      </c>
      <c r="F34" s="81" t="s">
        <v>226</v>
      </c>
      <c r="G34" s="81" t="s">
        <v>178</v>
      </c>
      <c r="H34" s="81" t="s">
        <v>222</v>
      </c>
      <c r="I34" s="81" t="s">
        <v>24</v>
      </c>
      <c r="J34" s="81" t="s">
        <v>227</v>
      </c>
      <c r="K34" s="81">
        <v>20.45</v>
      </c>
      <c r="L34" s="29">
        <v>3</v>
      </c>
      <c r="M34" s="81">
        <v>3.91</v>
      </c>
      <c r="N34" s="29">
        <v>4</v>
      </c>
      <c r="O34" s="84">
        <v>2.5899999999999999E-2</v>
      </c>
      <c r="P34" s="35">
        <v>3</v>
      </c>
      <c r="Q34" s="84">
        <v>0.3841</v>
      </c>
      <c r="R34" s="35">
        <v>3</v>
      </c>
      <c r="S34" s="84">
        <v>0.20069999999999999</v>
      </c>
      <c r="T34" s="35">
        <v>2</v>
      </c>
      <c r="U34" s="81">
        <v>195.39</v>
      </c>
      <c r="V34" s="29">
        <v>2</v>
      </c>
      <c r="W34" s="29">
        <f>(Table42810[[#This Row],[P/E Score]]*K$24)+(Table42810[[#This Row],[P/B Score]]*M$24)+(Table42810[[#This Row],[Dividend yield Score]]*O$24)+(Table42810[[#This Row],[Earning momentum Q/Q Score]]*Q$24)+(Table42810[[#This Row],[Return on Equity ( ROE ) Score]]*S$24)+(Table42810[[#This Row],[Stock Price Development Score]]*U$24)</f>
        <v>2.75</v>
      </c>
    </row>
    <row r="35" spans="1:23" x14ac:dyDescent="0.2">
      <c r="D35" s="81">
        <v>12</v>
      </c>
      <c r="E35" s="81" t="s">
        <v>220</v>
      </c>
      <c r="F35" s="81" t="s">
        <v>221</v>
      </c>
      <c r="G35" s="81" t="s">
        <v>178</v>
      </c>
      <c r="H35" s="81" t="s">
        <v>222</v>
      </c>
      <c r="I35" s="81" t="s">
        <v>223</v>
      </c>
      <c r="J35" s="81" t="s">
        <v>224</v>
      </c>
      <c r="K35" s="81">
        <v>16.489999999999998</v>
      </c>
      <c r="L35" s="29">
        <v>3</v>
      </c>
      <c r="M35" s="81">
        <v>3.45</v>
      </c>
      <c r="N35" s="29">
        <v>4</v>
      </c>
      <c r="O35" s="84">
        <v>5.5599999999999997E-2</v>
      </c>
      <c r="P35" s="35">
        <v>5</v>
      </c>
      <c r="Q35" s="84">
        <v>4.8800000000000003E-2</v>
      </c>
      <c r="R35" s="35">
        <v>1</v>
      </c>
      <c r="S35" s="84">
        <v>0.20710000000000001</v>
      </c>
      <c r="T35" s="35">
        <v>3</v>
      </c>
      <c r="U35" s="81">
        <v>9.19</v>
      </c>
      <c r="V35" s="29">
        <v>2</v>
      </c>
      <c r="W35" s="29">
        <f>(Table42810[[#This Row],[P/E Score]]*K$24)+(Table42810[[#This Row],[P/B Score]]*M$24)+(Table42810[[#This Row],[Dividend yield Score]]*O$24)+(Table42810[[#This Row],[Earning momentum Q/Q Score]]*Q$24)+(Table42810[[#This Row],[Return on Equity ( ROE ) Score]]*S$24)+(Table42810[[#This Row],[Stock Price Development Score]]*U$24)</f>
        <v>2.7499999999999996</v>
      </c>
    </row>
    <row r="36" spans="1:23" x14ac:dyDescent="0.2">
      <c r="D36" s="81">
        <v>17</v>
      </c>
      <c r="E36" s="81" t="s">
        <v>239</v>
      </c>
      <c r="F36" s="81" t="s">
        <v>240</v>
      </c>
      <c r="G36" s="81" t="s">
        <v>178</v>
      </c>
      <c r="H36" s="81" t="s">
        <v>241</v>
      </c>
      <c r="I36" s="81" t="s">
        <v>24</v>
      </c>
      <c r="J36" s="81" t="s">
        <v>242</v>
      </c>
      <c r="K36" s="81">
        <v>21.16</v>
      </c>
      <c r="L36" s="81">
        <v>3</v>
      </c>
      <c r="M36" s="81">
        <v>1.67</v>
      </c>
      <c r="N36" s="81">
        <v>5</v>
      </c>
      <c r="O36" s="84" t="s">
        <v>131</v>
      </c>
      <c r="P36" s="35">
        <v>0</v>
      </c>
      <c r="Q36" s="84">
        <v>0.82850000000000001</v>
      </c>
      <c r="R36" s="35">
        <v>5</v>
      </c>
      <c r="S36" s="84">
        <v>8.1299999999999997E-2</v>
      </c>
      <c r="T36" s="35">
        <v>1</v>
      </c>
      <c r="U36" s="81">
        <v>67.8</v>
      </c>
      <c r="V36" s="81">
        <v>1</v>
      </c>
      <c r="W36" s="82">
        <f>(Table42810[[#This Row],[P/E Score]]*K$24)+(Table42810[[#This Row],[P/B Score]]*M$24)+(Table42810[[#This Row],[Dividend yield Score]]*O$24)+(Table42810[[#This Row],[Earning momentum Q/Q Score]]*Q$24)+(Table42810[[#This Row],[Return on Equity ( ROE ) Score]]*S$24)+(Table42810[[#This Row],[Stock Price Development Score]]*U$24)</f>
        <v>2.6000000000000005</v>
      </c>
    </row>
    <row r="37" spans="1:23" x14ac:dyDescent="0.2">
      <c r="D37" s="81">
        <v>1</v>
      </c>
      <c r="E37" s="81" t="s">
        <v>176</v>
      </c>
      <c r="F37" s="81" t="s">
        <v>177</v>
      </c>
      <c r="G37" s="81" t="s">
        <v>178</v>
      </c>
      <c r="H37" s="81" t="s">
        <v>179</v>
      </c>
      <c r="I37" s="81" t="s">
        <v>24</v>
      </c>
      <c r="J37" s="81" t="s">
        <v>180</v>
      </c>
      <c r="K37" s="81">
        <v>17.82</v>
      </c>
      <c r="L37" s="29">
        <v>2</v>
      </c>
      <c r="M37" s="81">
        <v>8.4600000000000009</v>
      </c>
      <c r="N37" s="29">
        <v>2</v>
      </c>
      <c r="O37" s="84" t="s">
        <v>131</v>
      </c>
      <c r="P37" s="35">
        <v>0</v>
      </c>
      <c r="Q37" s="84">
        <v>3.5799999999999998E-2</v>
      </c>
      <c r="R37" s="35">
        <v>1</v>
      </c>
      <c r="S37" s="84">
        <v>0.50439999999999996</v>
      </c>
      <c r="T37" s="35">
        <v>5</v>
      </c>
      <c r="U37" s="81">
        <v>456.42</v>
      </c>
      <c r="V37" s="29">
        <v>4</v>
      </c>
      <c r="W37" s="29">
        <f>(Table42810[[#This Row],[P/E Score]]*K$24)+(Table42810[[#This Row],[P/B Score]]*M$24)+(Table42810[[#This Row],[Dividend yield Score]]*O$24)+(Table42810[[#This Row],[Earning momentum Q/Q Score]]*Q$24)+(Table42810[[#This Row],[Return on Equity ( ROE ) Score]]*S$24)+(Table42810[[#This Row],[Stock Price Development Score]]*U$24)</f>
        <v>2.6</v>
      </c>
    </row>
    <row r="38" spans="1:23" x14ac:dyDescent="0.2">
      <c r="D38" s="81">
        <v>16</v>
      </c>
      <c r="E38" s="81" t="s">
        <v>236</v>
      </c>
      <c r="F38" s="81" t="s">
        <v>237</v>
      </c>
      <c r="G38" s="81" t="s">
        <v>178</v>
      </c>
      <c r="H38" s="81" t="s">
        <v>222</v>
      </c>
      <c r="I38" s="81" t="s">
        <v>24</v>
      </c>
      <c r="J38" s="81" t="s">
        <v>238</v>
      </c>
      <c r="K38" s="81">
        <v>29.03</v>
      </c>
      <c r="L38" s="81">
        <v>2</v>
      </c>
      <c r="M38" s="81">
        <v>2.78</v>
      </c>
      <c r="N38" s="81">
        <v>5</v>
      </c>
      <c r="O38" s="84">
        <v>1.47E-2</v>
      </c>
      <c r="P38" s="35">
        <v>1</v>
      </c>
      <c r="Q38" s="84">
        <v>1.198</v>
      </c>
      <c r="R38" s="35">
        <v>5</v>
      </c>
      <c r="S38" s="84">
        <v>8.2299999999999998E-2</v>
      </c>
      <c r="T38" s="35">
        <v>1</v>
      </c>
      <c r="U38" s="81">
        <v>54.71</v>
      </c>
      <c r="V38" s="81">
        <v>1</v>
      </c>
      <c r="W38" s="82">
        <f>(Table42810[[#This Row],[P/E Score]]*K$24)+(Table42810[[#This Row],[P/B Score]]*M$24)+(Table42810[[#This Row],[Dividend yield Score]]*O$24)+(Table42810[[#This Row],[Earning momentum Q/Q Score]]*Q$24)+(Table42810[[#This Row],[Return on Equity ( ROE ) Score]]*S$24)+(Table42810[[#This Row],[Stock Price Development Score]]*U$24)</f>
        <v>2.5500000000000007</v>
      </c>
    </row>
    <row r="39" spans="1:23" x14ac:dyDescent="0.2">
      <c r="D39" s="81">
        <v>7</v>
      </c>
      <c r="E39" s="81" t="s">
        <v>202</v>
      </c>
      <c r="F39" s="81" t="s">
        <v>203</v>
      </c>
      <c r="G39" s="81" t="s">
        <v>178</v>
      </c>
      <c r="H39" s="81" t="s">
        <v>191</v>
      </c>
      <c r="I39" s="81" t="s">
        <v>24</v>
      </c>
      <c r="J39" s="81" t="s">
        <v>204</v>
      </c>
      <c r="K39" s="81">
        <v>21.67</v>
      </c>
      <c r="L39" s="81">
        <v>3</v>
      </c>
      <c r="M39" s="81">
        <v>8.19</v>
      </c>
      <c r="N39" s="81">
        <v>2</v>
      </c>
      <c r="O39" s="84">
        <v>1.1900000000000001E-2</v>
      </c>
      <c r="P39" s="35">
        <v>2</v>
      </c>
      <c r="Q39" s="84">
        <v>5.3E-3</v>
      </c>
      <c r="R39" s="35">
        <v>1</v>
      </c>
      <c r="S39" s="84">
        <v>0.3957</v>
      </c>
      <c r="T39" s="35">
        <v>5</v>
      </c>
      <c r="U39" s="81">
        <v>137.13999999999999</v>
      </c>
      <c r="V39" s="81">
        <v>2</v>
      </c>
      <c r="W39" s="82">
        <f>(Table42810[[#This Row],[P/E Score]]*K$24)+(Table42810[[#This Row],[P/B Score]]*M$24)+(Table42810[[#This Row],[Dividend yield Score]]*O$24)+(Table42810[[#This Row],[Earning momentum Q/Q Score]]*Q$24)+(Table42810[[#This Row],[Return on Equity ( ROE ) Score]]*S$24)+(Table42810[[#This Row],[Stock Price Development Score]]*U$24)</f>
        <v>2.5499999999999998</v>
      </c>
    </row>
    <row r="40" spans="1:23" x14ac:dyDescent="0.2">
      <c r="D40" s="81">
        <v>5</v>
      </c>
      <c r="E40" s="81" t="s">
        <v>194</v>
      </c>
      <c r="F40" s="81" t="s">
        <v>195</v>
      </c>
      <c r="G40" s="81" t="s">
        <v>178</v>
      </c>
      <c r="H40" s="81" t="s">
        <v>196</v>
      </c>
      <c r="I40" s="81" t="s">
        <v>24</v>
      </c>
      <c r="J40" s="81" t="s">
        <v>197</v>
      </c>
      <c r="K40" s="81">
        <v>17.190000000000001</v>
      </c>
      <c r="L40" s="81">
        <v>3</v>
      </c>
      <c r="M40" s="81">
        <v>6.51</v>
      </c>
      <c r="N40" s="81">
        <v>3</v>
      </c>
      <c r="O40" s="84" t="s">
        <v>131</v>
      </c>
      <c r="P40" s="35">
        <v>0</v>
      </c>
      <c r="Q40" s="84">
        <v>0.21079999999999999</v>
      </c>
      <c r="R40" s="35">
        <v>2</v>
      </c>
      <c r="S40" s="84">
        <v>0.41820000000000002</v>
      </c>
      <c r="T40" s="35">
        <v>5</v>
      </c>
      <c r="U40" s="81">
        <v>108.9</v>
      </c>
      <c r="V40" s="81">
        <v>1</v>
      </c>
      <c r="W40" s="82">
        <f>(Table42810[[#This Row],[P/E Score]]*K$24)+(Table42810[[#This Row],[P/B Score]]*M$24)+(Table42810[[#This Row],[Dividend yield Score]]*O$24)+(Table42810[[#This Row],[Earning momentum Q/Q Score]]*Q$24)+(Table42810[[#This Row],[Return on Equity ( ROE ) Score]]*S$24)+(Table42810[[#This Row],[Stock Price Development Score]]*U$24)</f>
        <v>2.5</v>
      </c>
    </row>
    <row r="41" spans="1:23" x14ac:dyDescent="0.2">
      <c r="D41" s="81">
        <v>14</v>
      </c>
      <c r="E41" s="81" t="s">
        <v>228</v>
      </c>
      <c r="F41" s="81" t="s">
        <v>229</v>
      </c>
      <c r="G41" s="81" t="s">
        <v>178</v>
      </c>
      <c r="H41" s="81" t="s">
        <v>230</v>
      </c>
      <c r="I41" s="81" t="s">
        <v>24</v>
      </c>
      <c r="J41" s="81" t="s">
        <v>231</v>
      </c>
      <c r="K41" s="81">
        <v>14.78</v>
      </c>
      <c r="L41" s="29">
        <v>4</v>
      </c>
      <c r="M41" s="81">
        <v>1.65</v>
      </c>
      <c r="N41" s="29">
        <v>5</v>
      </c>
      <c r="O41" s="84">
        <v>3.0300000000000001E-2</v>
      </c>
      <c r="P41" s="35">
        <v>3</v>
      </c>
      <c r="Q41" s="84">
        <v>0.10299999999999999</v>
      </c>
      <c r="R41" s="35">
        <v>1</v>
      </c>
      <c r="S41" s="84">
        <v>0.1137</v>
      </c>
      <c r="T41" s="35">
        <v>2</v>
      </c>
      <c r="U41" s="81">
        <v>39.54</v>
      </c>
      <c r="V41" s="29">
        <v>1</v>
      </c>
      <c r="W41" s="29">
        <f>(Table42810[[#This Row],[P/E Score]]*K$24)+(Table42810[[#This Row],[P/B Score]]*M$24)+(Table42810[[#This Row],[Dividend yield Score]]*O$24)+(Table42810[[#This Row],[Earning momentum Q/Q Score]]*Q$24)+(Table42810[[#This Row],[Return on Equity ( ROE ) Score]]*S$24)+(Table42810[[#This Row],[Stock Price Development Score]]*U$24)</f>
        <v>2.4500000000000002</v>
      </c>
    </row>
    <row r="42" spans="1:23" x14ac:dyDescent="0.2">
      <c r="D42" s="81">
        <v>4</v>
      </c>
      <c r="E42" s="81" t="s">
        <v>189</v>
      </c>
      <c r="F42" s="81" t="s">
        <v>190</v>
      </c>
      <c r="G42" s="81" t="s">
        <v>178</v>
      </c>
      <c r="H42" s="81" t="s">
        <v>191</v>
      </c>
      <c r="I42" s="81" t="s">
        <v>192</v>
      </c>
      <c r="J42" s="81" t="s">
        <v>193</v>
      </c>
      <c r="K42" s="81">
        <v>17.420000000000002</v>
      </c>
      <c r="L42" s="81">
        <v>3</v>
      </c>
      <c r="M42" s="81">
        <v>7.14</v>
      </c>
      <c r="N42" s="81">
        <v>3</v>
      </c>
      <c r="O42" s="84" t="s">
        <v>131</v>
      </c>
      <c r="P42" s="35">
        <v>0</v>
      </c>
      <c r="Q42" s="84">
        <v>2.3199999999999998E-2</v>
      </c>
      <c r="R42" s="35">
        <v>1</v>
      </c>
      <c r="S42" s="84">
        <v>0.4249</v>
      </c>
      <c r="T42" s="35">
        <v>5</v>
      </c>
      <c r="U42" s="81">
        <v>255.32</v>
      </c>
      <c r="V42" s="81">
        <v>1</v>
      </c>
      <c r="W42" s="82">
        <f>(Table42810[[#This Row],[P/E Score]]*K$24)+(Table42810[[#This Row],[P/B Score]]*M$24)+(Table42810[[#This Row],[Dividend yield Score]]*O$24)+(Table42810[[#This Row],[Earning momentum Q/Q Score]]*Q$24)+(Table42810[[#This Row],[Return on Equity ( ROE ) Score]]*S$24)+(Table42810[[#This Row],[Stock Price Development Score]]*U$24)</f>
        <v>2.2999999999999998</v>
      </c>
    </row>
    <row r="43" spans="1:23" ht="17" thickBot="1" x14ac:dyDescent="0.25">
      <c r="D43" s="38"/>
      <c r="E43" s="38"/>
      <c r="F43" s="38"/>
      <c r="G43" s="38"/>
      <c r="H43" s="38"/>
      <c r="I43" s="38"/>
      <c r="J43" s="38"/>
      <c r="K43" s="39">
        <f>MEDIAN(K26:K42)</f>
        <v>20.45</v>
      </c>
      <c r="L43" s="38"/>
      <c r="M43" s="39">
        <f>MEDIAN(M26:M42)</f>
        <v>6.51</v>
      </c>
      <c r="N43" s="38"/>
      <c r="O43" s="38"/>
      <c r="P43" s="38"/>
      <c r="Q43" s="38"/>
      <c r="R43" s="38"/>
      <c r="S43" s="40"/>
      <c r="T43" s="38"/>
      <c r="U43" s="38"/>
      <c r="V43" s="38"/>
      <c r="W43" s="38"/>
    </row>
    <row r="45" spans="1:23" ht="17" thickBot="1" x14ac:dyDescent="0.25"/>
    <row r="46" spans="1:23" x14ac:dyDescent="0.2">
      <c r="A46" s="46" t="s">
        <v>77</v>
      </c>
      <c r="B46" s="47" t="s">
        <v>76</v>
      </c>
      <c r="D46" s="58" t="s">
        <v>27</v>
      </c>
      <c r="E46" s="59" t="s">
        <v>28</v>
      </c>
      <c r="F46" s="60" t="s">
        <v>2</v>
      </c>
      <c r="G46" s="60" t="s">
        <v>74</v>
      </c>
      <c r="H46" s="63" t="s">
        <v>78</v>
      </c>
    </row>
    <row r="47" spans="1:23" ht="17" thickBot="1" x14ac:dyDescent="0.25">
      <c r="A47" s="74" t="s">
        <v>5</v>
      </c>
      <c r="B47" s="45">
        <v>12000</v>
      </c>
      <c r="D47" s="81" t="s">
        <v>181</v>
      </c>
      <c r="E47" s="81" t="s">
        <v>182</v>
      </c>
      <c r="F47" s="29">
        <v>3.85</v>
      </c>
      <c r="G47" s="49">
        <f t="shared" ref="G47:G49" si="0">F47/F$50</f>
        <v>0.34375000000000006</v>
      </c>
      <c r="H47" s="61">
        <f>G47*B$47</f>
        <v>4125.0000000000009</v>
      </c>
    </row>
    <row r="48" spans="1:23" x14ac:dyDescent="0.2">
      <c r="D48" s="81" t="s">
        <v>205</v>
      </c>
      <c r="E48" s="81" t="s">
        <v>206</v>
      </c>
      <c r="F48" s="29">
        <v>3.75</v>
      </c>
      <c r="G48" s="49">
        <f t="shared" si="0"/>
        <v>0.3348214285714286</v>
      </c>
      <c r="H48" s="61">
        <f t="shared" ref="H48:H50" si="1">G48*B$47</f>
        <v>4017.8571428571431</v>
      </c>
    </row>
    <row r="49" spans="2:16" x14ac:dyDescent="0.2">
      <c r="D49" s="81" t="s">
        <v>198</v>
      </c>
      <c r="E49" s="81" t="s">
        <v>199</v>
      </c>
      <c r="F49" s="82">
        <v>3.6</v>
      </c>
      <c r="G49" s="49">
        <f t="shared" si="0"/>
        <v>0.32142857142857145</v>
      </c>
      <c r="H49" s="61">
        <f t="shared" si="1"/>
        <v>3857.1428571428573</v>
      </c>
    </row>
    <row r="50" spans="2:16" x14ac:dyDescent="0.2">
      <c r="F50" s="29">
        <f>SUM(F47:F49)</f>
        <v>11.2</v>
      </c>
    </row>
    <row r="58" spans="2:16" x14ac:dyDescent="0.2">
      <c r="D58" s="83"/>
      <c r="E58" s="83"/>
      <c r="F58" s="83"/>
      <c r="G58" s="83"/>
      <c r="H58" s="83"/>
      <c r="I58" s="83"/>
      <c r="J58" s="83"/>
      <c r="K58" s="83"/>
      <c r="L58" s="83"/>
      <c r="M58" s="83"/>
      <c r="N58" s="83"/>
      <c r="O58" s="83"/>
      <c r="P58" s="83"/>
    </row>
    <row r="59" spans="2:16" x14ac:dyDescent="0.2">
      <c r="D59" s="83"/>
      <c r="E59" s="83"/>
      <c r="F59" s="83"/>
      <c r="G59" s="83"/>
      <c r="H59" s="83"/>
      <c r="I59" s="83"/>
      <c r="J59" s="83"/>
      <c r="K59" s="83"/>
      <c r="L59" s="83"/>
      <c r="M59" s="83"/>
      <c r="N59" s="83"/>
      <c r="O59" s="83"/>
      <c r="P59" s="83"/>
    </row>
    <row r="60" spans="2:16" x14ac:dyDescent="0.2">
      <c r="B60" s="86"/>
      <c r="C60" s="86"/>
      <c r="D60" s="83"/>
      <c r="E60" s="83"/>
      <c r="F60" s="83"/>
      <c r="G60" s="83"/>
      <c r="H60" s="83"/>
      <c r="I60" s="83"/>
      <c r="J60" s="83"/>
      <c r="K60" s="83"/>
      <c r="L60" s="83"/>
      <c r="M60" s="83"/>
      <c r="N60" s="83"/>
      <c r="O60" s="83"/>
      <c r="P60" s="83"/>
    </row>
    <row r="61" spans="2:16" x14ac:dyDescent="0.2">
      <c r="D61" s="83"/>
      <c r="E61" s="83"/>
      <c r="F61" s="83"/>
      <c r="G61" s="83"/>
      <c r="H61" s="83"/>
      <c r="I61" s="83"/>
      <c r="J61" s="83"/>
      <c r="K61" s="83"/>
      <c r="L61" s="83"/>
      <c r="M61" s="83"/>
      <c r="N61" s="83"/>
      <c r="O61" s="83"/>
      <c r="P61" s="83"/>
    </row>
    <row r="62" spans="2:16" x14ac:dyDescent="0.2">
      <c r="D62" s="83"/>
      <c r="E62" s="83"/>
      <c r="F62" s="83"/>
      <c r="G62" s="83"/>
      <c r="H62" s="83"/>
      <c r="I62" s="83"/>
      <c r="J62" s="83"/>
      <c r="K62" s="83"/>
      <c r="L62" s="83"/>
      <c r="M62" s="83"/>
      <c r="N62" s="83"/>
      <c r="O62" s="83"/>
      <c r="P62" s="83"/>
    </row>
    <row r="63" spans="2:16" x14ac:dyDescent="0.2">
      <c r="D63" s="83"/>
      <c r="E63" s="83"/>
      <c r="F63" s="83"/>
      <c r="G63" s="83"/>
      <c r="H63" s="83"/>
      <c r="I63" s="83"/>
      <c r="J63" s="83"/>
      <c r="K63" s="83"/>
      <c r="L63" s="83"/>
      <c r="M63" s="83"/>
      <c r="N63" s="83"/>
      <c r="O63" s="83"/>
      <c r="P63" s="83"/>
    </row>
    <row r="64" spans="2:16" x14ac:dyDescent="0.2">
      <c r="D64" s="83"/>
      <c r="E64" s="83"/>
      <c r="F64" s="83"/>
      <c r="G64" s="83"/>
      <c r="H64" s="83"/>
      <c r="I64" s="83"/>
      <c r="J64" s="83"/>
      <c r="K64" s="83"/>
      <c r="L64" s="83"/>
      <c r="M64" s="83"/>
      <c r="N64" s="83"/>
      <c r="O64" s="83"/>
      <c r="P64" s="83"/>
    </row>
    <row r="65" spans="4:16" x14ac:dyDescent="0.2">
      <c r="D65" s="83"/>
      <c r="E65" s="83"/>
      <c r="F65" s="83"/>
      <c r="G65" s="83"/>
      <c r="H65" s="83"/>
      <c r="I65" s="83"/>
      <c r="J65" s="83"/>
      <c r="K65" s="83"/>
      <c r="L65" s="83"/>
      <c r="M65" s="83"/>
      <c r="N65" s="83"/>
      <c r="O65" s="83"/>
      <c r="P65" s="83"/>
    </row>
    <row r="66" spans="4:16" x14ac:dyDescent="0.2">
      <c r="D66" s="83"/>
      <c r="E66" s="83"/>
      <c r="F66" s="83"/>
      <c r="G66" s="83"/>
      <c r="H66" s="83"/>
      <c r="I66" s="83"/>
      <c r="J66" s="83"/>
      <c r="K66" s="83"/>
      <c r="L66" s="83"/>
      <c r="M66" s="83"/>
      <c r="N66" s="83"/>
      <c r="O66" s="83"/>
      <c r="P66" s="83"/>
    </row>
    <row r="67" spans="4:16" x14ac:dyDescent="0.2">
      <c r="D67" s="83"/>
      <c r="E67" s="83"/>
      <c r="F67" s="83"/>
      <c r="G67" s="83"/>
      <c r="H67" s="83"/>
      <c r="I67" s="83"/>
      <c r="J67" s="83"/>
      <c r="K67" s="83"/>
      <c r="L67" s="83"/>
      <c r="M67" s="83"/>
      <c r="N67" s="83"/>
      <c r="O67" s="83"/>
      <c r="P67" s="83"/>
    </row>
    <row r="68" spans="4:16" x14ac:dyDescent="0.2">
      <c r="D68" s="83"/>
      <c r="E68" s="83"/>
      <c r="F68" s="83"/>
      <c r="G68" s="83"/>
      <c r="H68" s="83"/>
      <c r="I68" s="83"/>
      <c r="J68" s="83"/>
      <c r="K68" s="83"/>
      <c r="L68" s="83"/>
      <c r="M68" s="83"/>
      <c r="N68" s="83"/>
      <c r="O68" s="83"/>
      <c r="P68" s="83"/>
    </row>
    <row r="69" spans="4:16" x14ac:dyDescent="0.2">
      <c r="D69" s="83"/>
      <c r="E69" s="83"/>
      <c r="F69" s="83"/>
      <c r="G69" s="83"/>
      <c r="H69" s="83"/>
      <c r="I69" s="83"/>
      <c r="J69" s="83"/>
      <c r="K69" s="83"/>
      <c r="L69" s="83"/>
      <c r="M69" s="83"/>
      <c r="N69" s="83"/>
      <c r="O69" s="83"/>
      <c r="P69" s="83"/>
    </row>
    <row r="70" spans="4:16" x14ac:dyDescent="0.2">
      <c r="D70" s="83"/>
      <c r="E70" s="83"/>
      <c r="F70" s="83"/>
      <c r="G70" s="83"/>
      <c r="H70" s="83"/>
      <c r="I70" s="83"/>
      <c r="J70" s="83"/>
      <c r="K70" s="83"/>
      <c r="L70" s="83"/>
      <c r="M70" s="83"/>
      <c r="N70" s="83"/>
      <c r="O70" s="83"/>
      <c r="P70" s="83"/>
    </row>
    <row r="71" spans="4:16" x14ac:dyDescent="0.2">
      <c r="D71" s="83"/>
      <c r="E71" s="83"/>
      <c r="F71" s="83"/>
      <c r="G71" s="83"/>
      <c r="H71" s="83"/>
      <c r="I71" s="83"/>
      <c r="J71" s="83"/>
      <c r="K71" s="83"/>
      <c r="L71" s="83"/>
      <c r="M71" s="83"/>
      <c r="N71" s="83"/>
      <c r="O71" s="83"/>
      <c r="P71" s="83"/>
    </row>
    <row r="72" spans="4:16" x14ac:dyDescent="0.2">
      <c r="D72" s="83"/>
      <c r="E72" s="83"/>
      <c r="F72" s="83"/>
      <c r="G72" s="83"/>
      <c r="H72" s="83"/>
      <c r="I72" s="83"/>
      <c r="J72" s="83"/>
      <c r="K72" s="83"/>
      <c r="L72" s="83"/>
      <c r="M72" s="83"/>
      <c r="N72" s="83"/>
      <c r="O72" s="83"/>
      <c r="P72" s="83"/>
    </row>
    <row r="73" spans="4:16" x14ac:dyDescent="0.2">
      <c r="D73" s="83"/>
      <c r="E73" s="83"/>
      <c r="F73" s="83"/>
      <c r="G73" s="83"/>
      <c r="H73" s="83"/>
      <c r="I73" s="83"/>
      <c r="J73" s="83"/>
      <c r="K73" s="83"/>
      <c r="L73" s="83"/>
      <c r="M73" s="83"/>
      <c r="N73" s="83"/>
      <c r="O73" s="83"/>
      <c r="P73" s="83"/>
    </row>
    <row r="74" spans="4:16" x14ac:dyDescent="0.2">
      <c r="D74" s="83"/>
      <c r="E74" s="83"/>
      <c r="F74" s="83"/>
      <c r="G74" s="83"/>
      <c r="H74" s="83"/>
      <c r="I74" s="83"/>
      <c r="J74" s="83"/>
      <c r="K74" s="83"/>
      <c r="L74" s="83"/>
      <c r="M74" s="83"/>
      <c r="N74" s="83"/>
      <c r="O74" s="83"/>
      <c r="P74" s="83"/>
    </row>
    <row r="75" spans="4:16" x14ac:dyDescent="0.2">
      <c r="D75" s="85"/>
      <c r="E75" s="85"/>
      <c r="F75" s="85"/>
      <c r="G75" s="85"/>
      <c r="H75" s="85"/>
      <c r="I75" s="85"/>
      <c r="J75" s="85"/>
      <c r="K75" s="85"/>
      <c r="L75" s="85"/>
      <c r="M75" s="85"/>
      <c r="N75" s="85"/>
      <c r="O75" s="85"/>
      <c r="P75" s="85"/>
    </row>
  </sheetData>
  <pageMargins left="0.7" right="0.7" top="0.75" bottom="0.75" header="0.3" footer="0.3"/>
  <pageSetup paperSize="9" orientation="portrait" horizontalDpi="0" verticalDpi="0"/>
  <tableParts count="2">
    <tablePart r:id="rId1"/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Scoring Model Sectors</vt:lpstr>
      <vt:lpstr>Financial</vt:lpstr>
      <vt:lpstr>Communication services</vt:lpstr>
      <vt:lpstr>Industrial</vt:lpstr>
      <vt:lpstr>Consumer Discretionary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saransh dhawan</dc:creator>
  <cp:lastModifiedBy>saransh dhawan</cp:lastModifiedBy>
  <dcterms:created xsi:type="dcterms:W3CDTF">2025-06-09T18:12:35Z</dcterms:created>
  <dcterms:modified xsi:type="dcterms:W3CDTF">2025-06-11T18:30:25Z</dcterms:modified>
</cp:coreProperties>
</file>